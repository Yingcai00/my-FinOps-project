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T运维\FinOps\AI coding FinOps\FinOpsV2.0\"/>
    </mc:Choice>
  </mc:AlternateContent>
  <bookViews>
    <workbookView xWindow="0" yWindow="0" windowWidth="26085" windowHeight="9960" activeTab="2"/>
  </bookViews>
  <sheets>
    <sheet name="成本模型（真实数据）" sheetId="1" r:id="rId1"/>
    <sheet name="资产编码" sheetId="2" r:id="rId2"/>
    <sheet name="成本模型（模拟数据）" sheetId="3" r:id="rId3"/>
    <sheet name="数据来源" sheetId="4" r:id="rId4"/>
    <sheet name="瓶颈资源单价" sheetId="5" r:id="rId5"/>
    <sheet name="资产系统资产与分类对应" sheetId="6" r:id="rId6"/>
    <sheet name="产品成本对应（草稿）" sheetId="7" r:id="rId7"/>
    <sheet name="产品价格表" sheetId="8" r:id="rId8"/>
    <sheet name="问题" sheetId="9" r:id="rId9"/>
  </sheets>
  <calcPr calcId="162913"/>
</workbook>
</file>

<file path=xl/calcChain.xml><?xml version="1.0" encoding="utf-8"?>
<calcChain xmlns="http://schemas.openxmlformats.org/spreadsheetml/2006/main">
  <c r="K45" i="3" l="1"/>
  <c r="N45" i="3" s="1"/>
  <c r="K44" i="3"/>
  <c r="N44" i="3" s="1"/>
  <c r="K43" i="3"/>
  <c r="N43" i="3" s="1"/>
  <c r="K42" i="3"/>
  <c r="N42" i="3" s="1"/>
  <c r="K41" i="3"/>
  <c r="N41" i="3" s="1"/>
  <c r="K40" i="3"/>
  <c r="N40" i="3" s="1"/>
  <c r="K39" i="3"/>
  <c r="N39" i="3" s="1"/>
  <c r="K38" i="3"/>
  <c r="N38" i="3" s="1"/>
  <c r="K37" i="3"/>
  <c r="N37" i="3" s="1"/>
  <c r="K36" i="3"/>
  <c r="N36" i="3" s="1"/>
  <c r="K35" i="3"/>
  <c r="N35" i="3" s="1"/>
  <c r="K34" i="3"/>
  <c r="N34" i="3" s="1"/>
  <c r="K33" i="3"/>
  <c r="N33" i="3" s="1"/>
  <c r="K32" i="3"/>
  <c r="N32" i="3" s="1"/>
  <c r="K26" i="3"/>
  <c r="N26" i="3" s="1"/>
  <c r="K25" i="3"/>
  <c r="N25" i="3" s="1"/>
  <c r="K24" i="3"/>
  <c r="N24" i="3" s="1"/>
  <c r="K23" i="3"/>
  <c r="N23" i="3" s="1"/>
  <c r="K22" i="3"/>
  <c r="N22" i="3" s="1"/>
  <c r="K21" i="3"/>
  <c r="N21" i="3" s="1"/>
  <c r="K20" i="3"/>
  <c r="N20" i="3" s="1"/>
  <c r="K19" i="3"/>
  <c r="N19" i="3" s="1"/>
  <c r="K18" i="3"/>
  <c r="N18" i="3" s="1"/>
  <c r="K17" i="3"/>
  <c r="N17" i="3" s="1"/>
  <c r="K16" i="3"/>
  <c r="N16" i="3" s="1"/>
  <c r="K15" i="3"/>
  <c r="N15" i="3" s="1"/>
  <c r="K14" i="3"/>
  <c r="N14" i="3" s="1"/>
  <c r="K13" i="3"/>
  <c r="N13" i="3" s="1"/>
  <c r="K12" i="3"/>
  <c r="N12" i="3" s="1"/>
  <c r="K11" i="3"/>
  <c r="N11" i="3" s="1"/>
  <c r="K10" i="3"/>
  <c r="N10" i="3" s="1"/>
  <c r="K9" i="3"/>
  <c r="N9" i="3" s="1"/>
  <c r="K8" i="3"/>
  <c r="N8" i="3" s="1"/>
  <c r="K7" i="3"/>
  <c r="N7" i="3" s="1"/>
  <c r="K6" i="3"/>
  <c r="N6" i="3" s="1"/>
  <c r="K5" i="3"/>
  <c r="N5" i="3" s="1"/>
  <c r="N4" i="3"/>
  <c r="K4" i="3"/>
  <c r="K3" i="3"/>
  <c r="N3" i="3" s="1"/>
  <c r="K2" i="3"/>
  <c r="N2" i="3" s="1"/>
  <c r="O15" i="3" l="1"/>
  <c r="P15" i="3" s="1"/>
  <c r="O14" i="3"/>
  <c r="P14" i="3" s="1"/>
  <c r="O9" i="3"/>
  <c r="P9" i="3" s="1"/>
  <c r="O8" i="3"/>
  <c r="P8" i="3" s="1"/>
  <c r="O18" i="3"/>
  <c r="P18" i="3" s="1"/>
  <c r="O12" i="3"/>
  <c r="P12" i="3" s="1"/>
  <c r="O5" i="3"/>
  <c r="P5" i="3" s="1"/>
  <c r="O6" i="3"/>
  <c r="P6" i="3" s="1"/>
  <c r="O17" i="3"/>
  <c r="P17" i="3" s="1"/>
  <c r="O13" i="3"/>
  <c r="P13" i="3" s="1"/>
  <c r="O19" i="3"/>
  <c r="P19" i="3" s="1"/>
  <c r="O4" i="3"/>
  <c r="P4" i="3" s="1"/>
  <c r="O2" i="3"/>
  <c r="P2" i="3" s="1"/>
  <c r="O10" i="3"/>
  <c r="P10" i="3" s="1"/>
  <c r="O16" i="3"/>
  <c r="P16" i="3" s="1"/>
  <c r="O7" i="3"/>
  <c r="P7" i="3" s="1"/>
  <c r="O11" i="3"/>
  <c r="P11" i="3" s="1"/>
  <c r="O3" i="3"/>
  <c r="P3" i="3" s="1"/>
</calcChain>
</file>

<file path=xl/sharedStrings.xml><?xml version="1.0" encoding="utf-8"?>
<sst xmlns="http://schemas.openxmlformats.org/spreadsheetml/2006/main" count="1634" uniqueCount="463">
  <si>
    <t>编码</t>
  </si>
  <si>
    <t>计费资源维度/瓶颈资源</t>
  </si>
  <si>
    <t>服务名称</t>
  </si>
  <si>
    <t>公摊后月总成本</t>
  </si>
  <si>
    <t>瓶颈资源总量</t>
  </si>
  <si>
    <t>资源单位</t>
  </si>
  <si>
    <t>资源单价计算公式</t>
  </si>
  <si>
    <t>资源单价</t>
  </si>
  <si>
    <t>CPU</t>
  </si>
  <si>
    <t>标准通用服务器 容器应用</t>
  </si>
  <si>
    <t>公摊后月总成本/当月瓶颈资源总量（实际配置）</t>
  </si>
  <si>
    <t>MEM</t>
  </si>
  <si>
    <t>标准通用服务器 虚拟化类应用</t>
  </si>
  <si>
    <t>Disk</t>
  </si>
  <si>
    <t>大数据类存储-机械多盘</t>
  </si>
  <si>
    <t>大数据类存储-机械大盘</t>
  </si>
  <si>
    <t>大数据类存储-高速IO</t>
  </si>
  <si>
    <t>大数据类超大存储</t>
  </si>
  <si>
    <t>高性能容器应用</t>
  </si>
  <si>
    <t>块存储</t>
  </si>
  <si>
    <t>待定</t>
  </si>
  <si>
    <t>实例</t>
  </si>
  <si>
    <t>虚拟机服务</t>
  </si>
  <si>
    <t>套</t>
  </si>
  <si>
    <t>（容器虚拟机人力成本+软件成本）/实例数</t>
  </si>
  <si>
    <t>容器服务</t>
  </si>
  <si>
    <t>数据库中间件服务</t>
  </si>
  <si>
    <t>数据库中间件人力成本/实例数</t>
  </si>
  <si>
    <t>条</t>
  </si>
  <si>
    <t>负载均衡服务</t>
  </si>
  <si>
    <t>域名解析服务</t>
  </si>
  <si>
    <t>网络流量定价</t>
  </si>
  <si>
    <t>端口映射定价</t>
  </si>
  <si>
    <t>资产编码</t>
  </si>
  <si>
    <t>采购价</t>
  </si>
  <si>
    <t>折旧月限</t>
  </si>
  <si>
    <t>单位</t>
  </si>
  <si>
    <t>资产状态</t>
  </si>
  <si>
    <t>分类标准</t>
  </si>
  <si>
    <t>规格信息</t>
  </si>
  <si>
    <t>资产类型</t>
  </si>
  <si>
    <t>在用、
报废</t>
  </si>
  <si>
    <t>资产归类标准</t>
  </si>
  <si>
    <t>产品类型</t>
  </si>
  <si>
    <t>产品名称</t>
  </si>
  <si>
    <t>关联成本项</t>
  </si>
  <si>
    <t>关联成本项 - 2</t>
  </si>
  <si>
    <t>计费资源维度/瓶颈资源（CPU、存储）</t>
  </si>
  <si>
    <t>定价规则</t>
  </si>
  <si>
    <t>服务器</t>
  </si>
  <si>
    <t>BBG23030604
BBG23030605</t>
  </si>
  <si>
    <t>BBG23030718
BBG23030719</t>
  </si>
  <si>
    <t>BBG24050031
BBG24050032</t>
  </si>
  <si>
    <t>BBG23030955
BBG23030956</t>
  </si>
  <si>
    <t>BBG23044471
BBG23044472</t>
  </si>
  <si>
    <t>BBG24070012</t>
  </si>
  <si>
    <t>BBG21073385
BBG21073386</t>
  </si>
  <si>
    <t>小型单机应用</t>
  </si>
  <si>
    <t>BBG25080008
BBG25080009</t>
  </si>
  <si>
    <t>高速编译型应用（高主频、高核心）</t>
  </si>
  <si>
    <t>BBG23030930
BBG23030931</t>
  </si>
  <si>
    <t>国产化</t>
  </si>
  <si>
    <t>BBG23030936
BBG23030937</t>
  </si>
  <si>
    <t>GPU服务器 RTX3090</t>
  </si>
  <si>
    <t>套、卡</t>
  </si>
  <si>
    <t>BBG24050005
BBG24050006</t>
  </si>
  <si>
    <t>GPU服务器 RTX4090</t>
  </si>
  <si>
    <t>BBG24070002
BBG24070003</t>
  </si>
  <si>
    <t>GPU服务器 A10</t>
  </si>
  <si>
    <t>BBG24070001</t>
  </si>
  <si>
    <t>GPU服务器 A40</t>
  </si>
  <si>
    <t>BBG23030823
BBG23030824</t>
  </si>
  <si>
    <t>GPU服务器 A100</t>
  </si>
  <si>
    <t>BBG23030875
BBG23030876</t>
  </si>
  <si>
    <t>GPU服务器 A800</t>
  </si>
  <si>
    <t>BBG23030897
BBG23030898</t>
  </si>
  <si>
    <t>GPU服务器 H100</t>
  </si>
  <si>
    <t>BBG23033213
BBG23033214</t>
  </si>
  <si>
    <t>虚机化</t>
  </si>
  <si>
    <t>标准云主机 2C/4G</t>
  </si>
  <si>
    <t>块存储 Local HDD，块存储 Ceph HDD，块存储 Local SSD</t>
  </si>
  <si>
    <t>标准云主机 4C/8G</t>
  </si>
  <si>
    <t>标准云主机 8C/16G</t>
  </si>
  <si>
    <t>标准云主机 16C/32G</t>
  </si>
  <si>
    <t>标准云主机 32C/64G</t>
  </si>
  <si>
    <t>标准云主机 64C/128G</t>
  </si>
  <si>
    <t>容器</t>
  </si>
  <si>
    <t>通用容器资源 2C/4G</t>
  </si>
  <si>
    <t>分布式文件存储</t>
  </si>
  <si>
    <t>通用容器资源 4C/8G</t>
  </si>
  <si>
    <t>通用容器资源 8C/16G</t>
  </si>
  <si>
    <t>通用容器资源 16C/32G</t>
  </si>
  <si>
    <t>通用容器资源 32C/64G</t>
  </si>
  <si>
    <t>通用容器资源 64C/128G</t>
  </si>
  <si>
    <t>存储</t>
  </si>
  <si>
    <t>对象存储服务 HDD</t>
  </si>
  <si>
    <t>对象存储服务 SSD</t>
  </si>
  <si>
    <t>块存储 Local HDD</t>
  </si>
  <si>
    <t>块存储 Ceph HDD</t>
  </si>
  <si>
    <t>块存储 Local SSD</t>
  </si>
  <si>
    <t>标准 NAS 文件存储</t>
  </si>
  <si>
    <t>块存储 SAN</t>
  </si>
  <si>
    <t>网络</t>
  </si>
  <si>
    <t>互联网出口带宽</t>
  </si>
  <si>
    <t>网络带宽</t>
  </si>
  <si>
    <t>专线接入</t>
  </si>
  <si>
    <t>域名解析 A 解析</t>
  </si>
  <si>
    <t>services + 均摊</t>
  </si>
  <si>
    <t>域名解析 Cname 解析</t>
  </si>
  <si>
    <t>负载均衡 Http</t>
  </si>
  <si>
    <t>负载均衡 Https</t>
  </si>
  <si>
    <t>负载均衡 TCP</t>
  </si>
  <si>
    <t>公网端口映射</t>
  </si>
  <si>
    <t>安全人力成本、安全设备</t>
  </si>
  <si>
    <t>策略</t>
  </si>
  <si>
    <t>中间件</t>
  </si>
  <si>
    <t>kafka 容器版</t>
  </si>
  <si>
    <t>CPU、MEM、Disk、Network + services + 均摊</t>
  </si>
  <si>
    <t>Kafka消息队列高可用（不同配置）
单节点（不同的配置）</t>
  </si>
  <si>
    <t>Rocketmq 容器版</t>
  </si>
  <si>
    <t>Rocketmq消息队列</t>
  </si>
  <si>
    <t>Rabbitmq 容器版</t>
  </si>
  <si>
    <t>Rabbitmq消息队列</t>
  </si>
  <si>
    <t>数据库</t>
  </si>
  <si>
    <t>MySQL 高可用版 - 共享型</t>
  </si>
  <si>
    <t>MySQL 单机版 - 共享型</t>
  </si>
  <si>
    <t>MySQL 高可用版 - 独享型
2vCPU, 4GB RAM, 40GB</t>
  </si>
  <si>
    <t>4vCPU, 8GB RAM, 40GB</t>
  </si>
  <si>
    <t>8vCPU, 16GB RAM, 40GB</t>
  </si>
  <si>
    <t>16vCPU, 32GB RAM, 40GB</t>
  </si>
  <si>
    <t>MySQL 单机版 - 独享型</t>
  </si>
  <si>
    <t>MySQL 高可用版 - 容器</t>
  </si>
  <si>
    <t>MySQL 单机版 - 容器</t>
  </si>
  <si>
    <t>Oracle 数据库服务</t>
  </si>
  <si>
    <t>PostgreSQL容器版</t>
  </si>
  <si>
    <t>PostgreSQL高可用版</t>
  </si>
  <si>
    <t>Redis容器版</t>
  </si>
  <si>
    <t>Redis高可用版</t>
  </si>
  <si>
    <t>MongoDB 高可用版</t>
  </si>
  <si>
    <t>MongoDB 单机版</t>
  </si>
  <si>
    <t>Elasticsearch 容器版</t>
  </si>
  <si>
    <t>Elasticsearch 集群（单机、高可用）</t>
  </si>
  <si>
    <t>数据项</t>
  </si>
  <si>
    <t>数据来源</t>
  </si>
  <si>
    <t>备注</t>
  </si>
  <si>
    <t>硬件设备类采购价、数量</t>
  </si>
  <si>
    <t>资产系统</t>
  </si>
  <si>
    <t>设备类瓶颈资源总量</t>
  </si>
  <si>
    <t>玄武系统</t>
  </si>
  <si>
    <t>软件</t>
  </si>
  <si>
    <t>机房期初建设费</t>
  </si>
  <si>
    <t>手填</t>
  </si>
  <si>
    <t>场地费</t>
  </si>
  <si>
    <t>维保费</t>
  </si>
  <si>
    <t>用电量、总电费</t>
  </si>
  <si>
    <t>后续可接行政接口，需开发。西安和上海的可接接口，上海的需安装电表后实现</t>
  </si>
  <si>
    <t>网络带宽费</t>
  </si>
  <si>
    <t>人工费</t>
  </si>
  <si>
    <t>设备与软件类：资产所在地点
其他手动维护</t>
  </si>
  <si>
    <t>月成本/总台数</t>
  </si>
  <si>
    <t>硬件设备统一60个月
软件不统一</t>
  </si>
  <si>
    <t>单价/折旧月限</t>
  </si>
  <si>
    <t>资产系统数量统计总台数</t>
  </si>
  <si>
    <t>多个资产取其中一个的单位</t>
  </si>
  <si>
    <t>多个资产系统采购价总额</t>
  </si>
  <si>
    <t>同一公摊池内：
每项非公摊月成本/所有非公摊成本之和</t>
  </si>
  <si>
    <t>同一公摊池内：
每项非公摊月成本+每项公摊成本之和*对应公摊比例</t>
  </si>
  <si>
    <t>固定规格*数量</t>
  </si>
  <si>
    <t>成本分类</t>
  </si>
  <si>
    <t>成本池</t>
  </si>
  <si>
    <t>成本项</t>
  </si>
  <si>
    <t>地域</t>
  </si>
  <si>
    <t>公摊池</t>
  </si>
  <si>
    <t>公摊类型</t>
  </si>
  <si>
    <t>描述（手动输入）</t>
  </si>
  <si>
    <t>单价（元）</t>
  </si>
  <si>
    <t>折旧月价</t>
  </si>
  <si>
    <t>数量</t>
  </si>
  <si>
    <t>成本月</t>
  </si>
  <si>
    <t>月成本（元）</t>
  </si>
  <si>
    <t>公摊比例</t>
  </si>
  <si>
    <t>公摊后月总成本（计算得出）</t>
  </si>
  <si>
    <t>CPU资源总量</t>
  </si>
  <si>
    <t>MEM资源总量</t>
  </si>
  <si>
    <t>Disk资源总量</t>
  </si>
  <si>
    <t>流量资源总量</t>
  </si>
  <si>
    <t>设备费用</t>
  </si>
  <si>
    <t>通算服务器</t>
  </si>
  <si>
    <t>标准通用服务器-容器应用</t>
  </si>
  <si>
    <t>基础资源</t>
  </si>
  <si>
    <t>非公摊成本</t>
  </si>
  <si>
    <t>标准通用服务器-虚拟化类应用</t>
  </si>
  <si>
    <t>国产化服务器</t>
  </si>
  <si>
    <t>智算服务器</t>
  </si>
  <si>
    <t>GPU服务器-RTX3090</t>
  </si>
  <si>
    <t>GPU服务器-RTX4090</t>
  </si>
  <si>
    <t>GPU服务器-A10</t>
  </si>
  <si>
    <t>GPU服务器-A40</t>
  </si>
  <si>
    <t>GPU服务器-A100</t>
  </si>
  <si>
    <t>GPU服务器-A800</t>
  </si>
  <si>
    <t>GPU服务器-H100</t>
  </si>
  <si>
    <t>块存储SAN</t>
  </si>
  <si>
    <t>运营费用</t>
  </si>
  <si>
    <t>存储维保</t>
  </si>
  <si>
    <t>公摊成本</t>
  </si>
  <si>
    <t>安全</t>
  </si>
  <si>
    <t>waf</t>
  </si>
  <si>
    <t>IDS</t>
  </si>
  <si>
    <t>IPS</t>
  </si>
  <si>
    <t>防火墙</t>
  </si>
  <si>
    <t>堡垒机</t>
  </si>
  <si>
    <t>防火墙（数据中心）</t>
  </si>
  <si>
    <t>台</t>
  </si>
  <si>
    <t>流量编排（数据中心）</t>
  </si>
  <si>
    <t>路由器（数据中心）</t>
  </si>
  <si>
    <t>交换机（数据中心）</t>
  </si>
  <si>
    <t>负载均衡（数据中心）</t>
  </si>
  <si>
    <t>维保费用</t>
  </si>
  <si>
    <t>软件平台</t>
  </si>
  <si>
    <t>机房环境</t>
  </si>
  <si>
    <t>动环系统</t>
  </si>
  <si>
    <t>动环维保</t>
  </si>
  <si>
    <t>基础设施</t>
  </si>
  <si>
    <t>（UPS、主机、配电柜、蓄电池、行级空调、精密空调、空间配电柜、机柜、耗材、装修、弱电、地板、防静电地板）</t>
  </si>
  <si>
    <t>场地成本</t>
  </si>
  <si>
    <t>平</t>
  </si>
  <si>
    <t>机房维保费用</t>
  </si>
  <si>
    <t>电费-北京一期</t>
  </si>
  <si>
    <t>北京一期</t>
  </si>
  <si>
    <t>度</t>
  </si>
  <si>
    <t>电费-北京二期</t>
  </si>
  <si>
    <t>北京二期</t>
  </si>
  <si>
    <t>电费-西安</t>
  </si>
  <si>
    <t>西安</t>
  </si>
  <si>
    <t>电费-上海</t>
  </si>
  <si>
    <t>上海</t>
  </si>
  <si>
    <t>机房人工费用</t>
  </si>
  <si>
    <t>机房、服务器人工费</t>
  </si>
  <si>
    <t>容器管理平台</t>
  </si>
  <si>
    <t>容器人工费用</t>
  </si>
  <si>
    <t>数据库人工费用</t>
  </si>
  <si>
    <t>互联网网络带宽</t>
  </si>
  <si>
    <t>跨区专线网络带宽</t>
  </si>
  <si>
    <t>网络人工费用</t>
  </si>
  <si>
    <t>安全人工费用</t>
  </si>
  <si>
    <t>公网映射</t>
  </si>
  <si>
    <t>描述</t>
  </si>
  <si>
    <t>规格</t>
  </si>
  <si>
    <t>关联瓶颈资源成本项</t>
  </si>
  <si>
    <t xml:space="preserve">关联其他资源成本项 </t>
  </si>
  <si>
    <t xml:space="preserve">关联服务成本项 </t>
  </si>
  <si>
    <t>单价</t>
  </si>
  <si>
    <t>通算服务器机型一（32C/384G/11T）</t>
  </si>
  <si>
    <t>机型1：6326*2/32G*12/HDD_600G*2+SSD_1.92T*6/PM8</t>
  </si>
  <si>
    <t>标准通用服务器 容器应用服务器公摊后费用</t>
  </si>
  <si>
    <t>公摊后月总成本/当月服务器数量</t>
  </si>
  <si>
    <t>通算服务器机型二（32C/512G/24T）</t>
  </si>
  <si>
    <t>6326*2/32G*16/HDD_600G*2+HDD_4T*6/PM8204</t>
  </si>
  <si>
    <t>标准通用服务器 虚拟化类应用服务器公摊后费用</t>
  </si>
  <si>
    <t>通算服务器机型三（32/512G/11T SSD）</t>
  </si>
  <si>
    <t>6465*2 /512GB/600G 10k *2 + 6*1.92TSSD</t>
  </si>
  <si>
    <t>高性能容器应用服务器公摊后费用</t>
  </si>
  <si>
    <t>通算服务器机型四（32C/256G/3.8T）
按性能排序</t>
  </si>
  <si>
    <t>CPU：2 * Intel Xeon Gold 6326 Processor(2.9GHZ,16C/32T,11.2 GT/s)
内存：256GB内存，不低于3200MT/s
硬盘：600G 10k *2 + 960G SSD *4</t>
  </si>
  <si>
    <t>小型单机应用服务器公摊后费用</t>
  </si>
  <si>
    <t>通算服务器机型五（48C/256G/15T）</t>
  </si>
  <si>
    <t>CPU：不低于2*CPU_AMD_74F3_EPYC_3.2GHz_24C_256M_240W
内存：256GB内存，不低于3200MT/s
硬盘：8个硬盘插槽，≥2*960G SSD硬盘，≥4*3.84TB NVMe SSD硬盘(3.84TB  NVMe 不需要做硬件raid)</t>
  </si>
  <si>
    <t>高速编译型应用（高主频、高核心）服务器公摊后费用</t>
  </si>
  <si>
    <t>通算服务器机型六（龙芯3C/384G/8T）</t>
  </si>
  <si>
    <t>CPU：4*龙芯3C6000，或者更新CPU型号
内存：384G
硬盘：2T SSD+4*2T企业级SAS</t>
  </si>
  <si>
    <t>国产化服务器公摊后费用</t>
  </si>
  <si>
    <t>存储型服务器机型一(32C/256G/48T)</t>
  </si>
  <si>
    <t>4314*2/32G*8/HDD_600G*2+HDD_4T*12/PM8204</t>
  </si>
  <si>
    <t>大数据类存储-机械多盘服务器公摊后费用</t>
  </si>
  <si>
    <t>存储型服务器机型二(32C/256G/72T)</t>
  </si>
  <si>
    <t>4314*2/32G*8/HDD_600G*2+HDD_12T*6/PM8204</t>
  </si>
  <si>
    <t>大数据类存储-机械大盘服务器公摊后费用</t>
  </si>
  <si>
    <t>存储类服务器机型三（32C/256G/34T SSD ）</t>
  </si>
  <si>
    <t>6326*2/32G*8/HDD_600G*2+SSD_3.84T*9/PM82</t>
  </si>
  <si>
    <t>大数据类存储-高速IO服务器公摊后费用</t>
  </si>
  <si>
    <t>存储类服务器机型四（ 64C/768G/72T+3.2T）</t>
  </si>
  <si>
    <t>8358*2-32g*24-480g*2+12t*6+1.6t*2</t>
  </si>
  <si>
    <t>大数据类超大存储服务器公摊后费用</t>
  </si>
  <si>
    <t>GPU服务器 RTX3090 （16C/256G/8T SSD/3090*2）</t>
  </si>
  <si>
    <t>GPU 推理、GPU 图形，单显存 24GB</t>
  </si>
  <si>
    <t>GPU服务器 RTX3090公摊后费用</t>
  </si>
  <si>
    <t>GPU服务器 RTX4090（32C/256G/3.8T SSD/4090*2）</t>
  </si>
  <si>
    <t>GPU服务器 RTX4090公摊后费用</t>
  </si>
  <si>
    <t>GPU服务器 A10（32C/512G/23T/A10*2）</t>
  </si>
  <si>
    <t>GPU 推理，单显存 24GB</t>
  </si>
  <si>
    <t>GPU服务器 A10公摊后费用</t>
  </si>
  <si>
    <t>GPU服务器 A40（32C/768G/23T/A40*2）</t>
  </si>
  <si>
    <t>GPU 推理，单显存 48GB</t>
  </si>
  <si>
    <t>GPU服务器 A40公摊后费用</t>
  </si>
  <si>
    <t>GPU服务器 A800（64C/2048G/30T/A800*8）</t>
  </si>
  <si>
    <t>GPU 训练，单显存 80GB</t>
  </si>
  <si>
    <t>GPU服务器 A800公摊后费用</t>
  </si>
  <si>
    <t>GPU服务器 H100（96C/2048G/30T/H100*8）</t>
  </si>
  <si>
    <t>GPU服务器 H100公摊后费用</t>
  </si>
  <si>
    <t>GPU服务器 H800（96C/2048G/30T/H800*8）</t>
  </si>
  <si>
    <t>GPU服务器 H800</t>
  </si>
  <si>
    <t>GPU服务器 H800公摊后费用</t>
  </si>
  <si>
    <t>套餐选择：2vCPU, 4GB RAM, 40GB
镜像：windows、Linux 等近20种系统版本</t>
  </si>
  <si>
    <t>50G块存储 local HDD</t>
  </si>
  <si>
    <t>云主机服务费</t>
  </si>
  <si>
    <t>虚拟化类资源单价*瓶颈资源数量+服务费</t>
  </si>
  <si>
    <t>套餐选择：4vCPU, 8GB RAM, 40GB
镜像：windows、Linux 等近20种系统版本</t>
  </si>
  <si>
    <t>套餐选择：8vCPU, 16GB RAM, 40GB
镜像：windows、Linux 等近20种系统版本</t>
  </si>
  <si>
    <t>套餐选择：16vCPU, 32GB RAM, 40GB
镜像：windows、Linux 等近20种系统版本</t>
  </si>
  <si>
    <t>50G块存储 local HDDD</t>
  </si>
  <si>
    <t>套餐选择：32vCPU, 64GB RAM, 40GB
镜像：windows、Linux 等近20种系统版本</t>
  </si>
  <si>
    <t>套餐选择：64vCPU, 128GB RAM, 40GB
镜像：windows、Linux 等近20种系统版本</t>
  </si>
  <si>
    <t>微服务资源限额：2CPU 4MEM</t>
  </si>
  <si>
    <t>容器服务费</t>
  </si>
  <si>
    <t>容器类资源单价*瓶颈资源数量+服务费</t>
  </si>
  <si>
    <t>微服务资源限额：4CPU 8MEM</t>
  </si>
  <si>
    <t>微服务资源限额：8CPU 16MEM</t>
  </si>
  <si>
    <t>微服务资源限额：16CPU 32MEM</t>
  </si>
  <si>
    <t>微服务资源限额：32CPU 64MEM</t>
  </si>
  <si>
    <t>微服务资源限额：64CPU 168MEM</t>
  </si>
  <si>
    <t>多副本；数据冗余</t>
  </si>
  <si>
    <t>大数据类存储-机械多盘、大数据类存储-机械大盘</t>
  </si>
  <si>
    <t>存储类资源单价*数量</t>
  </si>
  <si>
    <t>块存储 SAN-B类资产购买成本</t>
  </si>
  <si>
    <t>存储类资源单价*分配数量</t>
  </si>
  <si>
    <t>基于 gstack 的 MQ</t>
  </si>
  <si>
    <t>中间件服务费</t>
  </si>
  <si>
    <t>容器类资源单价*数量+服务费</t>
  </si>
  <si>
    <t>高可用集群</t>
  </si>
  <si>
    <t>虚拟化类资源单价*数量+服务费</t>
  </si>
  <si>
    <t>数据库服务费</t>
  </si>
  <si>
    <t>套餐选择：2vCPU, 4GB RAM, 40GB
                  4vCPU, 8GB RAM, 40GB
                  8vCPU, 16GB RAM, 40GB
                  16vCPU, 32GB RAM, 40GB</t>
  </si>
  <si>
    <t>Oracle 数据库集群</t>
  </si>
  <si>
    <t>存储类资源单价*数量+服务费</t>
  </si>
  <si>
    <t>基于 gstack 的 PG 数据库</t>
  </si>
  <si>
    <t>PostgreSQL高可用集群</t>
  </si>
  <si>
    <t>基于 gstack 的 redis 实例</t>
  </si>
  <si>
    <t>6实例、Cluster 模式</t>
  </si>
  <si>
    <t>基于 gstack 的实例</t>
  </si>
  <si>
    <t>Elasticsearch 单一环境</t>
  </si>
  <si>
    <t>Elasticsearch 三节点高可用环境</t>
  </si>
  <si>
    <t>流量（互联网出口带宽）</t>
  </si>
  <si>
    <t>GB/月</t>
  </si>
  <si>
    <t>互联网出口带宽费</t>
  </si>
  <si>
    <t>流量（专线接入）</t>
  </si>
  <si>
    <t>专线带宽费</t>
  </si>
  <si>
    <t>解析到指定 IP 地址记录</t>
  </si>
  <si>
    <t>域名解析服务费</t>
  </si>
  <si>
    <t>解析到 Cname 别名记录</t>
  </si>
  <si>
    <t>支持七层 80 负载均衡，白名单，多后端</t>
  </si>
  <si>
    <t>负载均衡服务费</t>
  </si>
  <si>
    <t>支持七层 443 负载均衡，白名单，多后端</t>
  </si>
  <si>
    <t>支持四层 TCP 负载均衡，白名单，多后端</t>
  </si>
  <si>
    <t>NAT 端口映射</t>
  </si>
  <si>
    <t>网络配置服务费、安全人力成本、安全设备、</t>
  </si>
  <si>
    <t>网络配置服务费</t>
  </si>
  <si>
    <t>防火墙策略</t>
  </si>
  <si>
    <t>基于IP地址、网段、端口、协议类型</t>
  </si>
  <si>
    <t>流量管控策略</t>
  </si>
  <si>
    <t>基于单IP、IP段、子网、地域、时间</t>
  </si>
  <si>
    <t>分类</t>
  </si>
  <si>
    <t>方案</t>
  </si>
  <si>
    <t>场景</t>
  </si>
  <si>
    <t>问题</t>
  </si>
  <si>
    <t>如果将数据库等人力成本、软件成本都公摊到资源上</t>
  </si>
  <si>
    <t>用户只申请物理机</t>
  </si>
  <si>
    <t>多算了容器数据库等DBA的人力成本</t>
  </si>
  <si>
    <t>用户申请了物理机后，又申请在该物理机上配数据库</t>
  </si>
  <si>
    <t>多算了容器数据库等DBA的人力成本+所数据库占用资源的成本</t>
  </si>
  <si>
    <t>如果将数据库容器等人力成本、软件成本单独算</t>
  </si>
  <si>
    <t>虚拟机、容器、中间件、数据库等要按权重分配成本，否则无法拆分成本项</t>
  </si>
  <si>
    <t>若定一套数据库、中间件服务多少钱</t>
  </si>
  <si>
    <t>成本与账单就会有出入</t>
  </si>
  <si>
    <t>块存储从资产系统获取</t>
  </si>
  <si>
    <t>不同类型块存储使用月限不同</t>
  </si>
  <si>
    <t>能不能统一获取</t>
  </si>
  <si>
    <t>购买软硬件后首年维保费与购买资源的费用单独算</t>
  </si>
  <si>
    <t>若机房动环系统购买送首年维保</t>
  </si>
  <si>
    <t>首年维保费可能多算</t>
  </si>
  <si>
    <t>每批次实际采购总价/设备总数量</t>
  </si>
  <si>
    <t>采购价比较准确，与财务输出的实际成本做对比，可去除采购谈判的影响，但采购价可能包含了其他费用，例如维保费，计算比较复杂</t>
  </si>
  <si>
    <t>最近市面上的采购单价</t>
  </si>
  <si>
    <t>计算方案简单，但不准确</t>
  </si>
  <si>
    <t>成本分类标签</t>
  </si>
  <si>
    <t>资产系统增加物理机标签分类。</t>
  </si>
  <si>
    <t>若调整了产品服务目录，则标签也需要更新调整</t>
  </si>
  <si>
    <t>成本公摊</t>
  </si>
  <si>
    <t>网络设备、维保费与安全设备成本公摊到基础资源成本上</t>
  </si>
  <si>
    <t>资产分类</t>
  </si>
  <si>
    <t>品牌</t>
  </si>
  <si>
    <t>型号</t>
  </si>
  <si>
    <t>现资产系统分类</t>
  </si>
  <si>
    <t>B类资产名称</t>
  </si>
  <si>
    <t>BBG18072936</t>
  </si>
  <si>
    <t>NetApp A300</t>
  </si>
  <si>
    <t>451823000115/451823000116</t>
  </si>
  <si>
    <t>B类资产-其他设备-其他</t>
  </si>
  <si>
    <t>仓储柜</t>
  </si>
  <si>
    <t>3个磁盘柜</t>
  </si>
  <si>
    <t>BBG16050443</t>
  </si>
  <si>
    <t>NetApp 8020-1</t>
  </si>
  <si>
    <t>941615000013/941615000014</t>
  </si>
  <si>
    <t>B类资产-机房设备-存储设备</t>
  </si>
  <si>
    <t>BBG12051961</t>
  </si>
  <si>
    <t>NetApp FAS2040</t>
  </si>
  <si>
    <t>NetApp存储</t>
  </si>
  <si>
    <t>控制器已经损坏一个</t>
  </si>
  <si>
    <t>BBG13081450</t>
  </si>
  <si>
    <t>NetApp</t>
  </si>
  <si>
    <t>IBM磁盘阵列</t>
  </si>
  <si>
    <t>BBG14093276</t>
  </si>
  <si>
    <t>IBM v3700</t>
  </si>
  <si>
    <t>207224C</t>
  </si>
  <si>
    <t>IBM存储设备</t>
  </si>
  <si>
    <t>能登录到管理界面，但不能访问</t>
  </si>
  <si>
    <t>BBG13073015</t>
  </si>
  <si>
    <t>无资产</t>
  </si>
  <si>
    <t>已经损坏</t>
  </si>
  <si>
    <t>BBG12062327</t>
  </si>
  <si>
    <t>IBM DS3500</t>
  </si>
  <si>
    <t>69Y2893</t>
  </si>
  <si>
    <t>IBM存储</t>
  </si>
  <si>
    <t>访问不到</t>
  </si>
  <si>
    <t>BBG12062326</t>
  </si>
  <si>
    <t>SX21104358</t>
  </si>
  <si>
    <t>SH-RAID-141225-001</t>
  </si>
  <si>
    <t>7904395674/7904394280</t>
  </si>
  <si>
    <t>SH-RAID-141225-002</t>
  </si>
  <si>
    <t>磁盘柜</t>
  </si>
  <si>
    <t>BBG19122959</t>
  </si>
  <si>
    <t>BBG11114157</t>
  </si>
  <si>
    <t>HP storage works P2000</t>
  </si>
  <si>
    <t>CN8131N566/CN8131N84</t>
  </si>
  <si>
    <t>登录进去,命令界面,不会操作</t>
  </si>
  <si>
    <t>BBG15072311</t>
  </si>
  <si>
    <t>451524000124</t>
  </si>
  <si>
    <t>BBG14040712</t>
  </si>
  <si>
    <t>能够访问到，但已经进入维护模式</t>
  </si>
  <si>
    <t>BBG14073104</t>
  </si>
  <si>
    <t>Dell SC4020</t>
  </si>
  <si>
    <t>5V6M802</t>
  </si>
  <si>
    <t>已经不使用，但还有少量数据</t>
  </si>
  <si>
    <t>地区</t>
  </si>
  <si>
    <t>公摊后月总成本（元）</t>
  </si>
  <si>
    <t>CPU资源总量（C）</t>
  </si>
  <si>
    <t>MEM资源总量（GB）</t>
  </si>
  <si>
    <t>Disk资源总量（T）</t>
  </si>
  <si>
    <t>通算服务器机型三（32C/512G/11T SSD）</t>
  </si>
  <si>
    <t>通算服务器机型四（32C/256G/3.8T）</t>
  </si>
  <si>
    <t>100T</t>
  </si>
  <si>
    <t>--</t>
  </si>
  <si>
    <t>网络防火墙</t>
  </si>
  <si>
    <t>网络维保（数据中心）</t>
  </si>
  <si>
    <t>安全防火墙</t>
  </si>
  <si>
    <t>个</t>
  </si>
  <si>
    <t>运维人员人工</t>
  </si>
  <si>
    <t>总部</t>
  </si>
  <si>
    <t>网络运维人工</t>
  </si>
  <si>
    <t>互联网出口带宽（数据中心）</t>
  </si>
  <si>
    <t>跨区专线</t>
  </si>
  <si>
    <r>
      <rPr>
        <sz val="10"/>
        <color rgb="FFFF0000"/>
        <rFont val="等线"/>
        <charset val="134"/>
      </rPr>
      <t>例如：</t>
    </r>
    <r>
      <rPr>
        <sz val="10"/>
        <color rgb="FFFF0000"/>
        <rFont val="等线"/>
        <charset val="134"/>
      </rPr>
      <t xml:space="preserve">
GPU服务器 RTX3090</t>
    </r>
    <r>
      <rPr>
        <sz val="10"/>
        <color rgb="FFFF0000"/>
        <rFont val="等线"/>
        <charset val="134"/>
      </rPr>
      <t xml:space="preserve">
负载均衡</t>
    </r>
    <r>
      <rPr>
        <sz val="10"/>
        <color rgb="FFFF0000"/>
        <rFont val="等线"/>
        <charset val="134"/>
      </rPr>
      <t xml:space="preserve">
IPS</t>
    </r>
    <r>
      <rPr>
        <sz val="10"/>
        <color rgb="FFFF0000"/>
        <rFont val="等线"/>
        <charset val="134"/>
      </rPr>
      <t xml:space="preserve">
软件</t>
    </r>
    <r>
      <rPr>
        <sz val="10"/>
        <color rgb="FFFF0000"/>
        <rFont val="等线"/>
        <charset val="134"/>
      </rPr>
      <t xml:space="preserve">
网络数据中心防火墙</t>
    </r>
    <r>
      <rPr>
        <sz val="10"/>
        <color rgb="FFFF0000"/>
        <rFont val="等线"/>
        <charset val="134"/>
      </rPr>
      <t xml:space="preserve">
安全防火墙等等</t>
    </r>
  </si>
  <si>
    <r>
      <rPr>
        <sz val="11"/>
        <color rgb="FF000000"/>
        <rFont val="等线"/>
        <charset val="134"/>
      </rPr>
      <t>CPU、</t>
    </r>
    <r>
      <rPr>
        <b/>
        <sz val="11"/>
        <color rgb="FFFF0000"/>
        <rFont val="等线"/>
        <charset val="134"/>
      </rPr>
      <t>MEM</t>
    </r>
    <r>
      <rPr>
        <sz val="11"/>
        <color rgb="FF000000"/>
        <rFont val="等线"/>
        <charset val="134"/>
      </rPr>
      <t>、Disk</t>
    </r>
  </si>
  <si>
    <r>
      <rPr>
        <b/>
        <sz val="11"/>
        <color rgb="FFFF0000"/>
        <rFont val="等线"/>
        <charset val="134"/>
      </rPr>
      <t>CPU</t>
    </r>
    <r>
      <rPr>
        <sz val="11"/>
        <color rgb="FF000000"/>
        <rFont val="等线"/>
        <charset val="134"/>
      </rPr>
      <t>、MEM、Disk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</si>
</sst>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¥&quot;#,##0.00_);[Red]\(&quot;¥&quot;#,##0.00\)"/>
    <numFmt numFmtId="177" formatCode="&quot;¥&quot;#,##0.00"/>
    <numFmt numFmtId="178" formatCode="0.00_ "/>
  </numFmts>
  <fonts count="28">
    <font>
      <sz val="10"/>
      <color theme="1"/>
      <name val="等线"/>
      <family val="2"/>
      <charset val="134"/>
      <scheme val="minor"/>
    </font>
    <font>
      <sz val="11"/>
      <name val="等线"/>
      <charset val="134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b/>
      <sz val="10"/>
      <name val="等线"/>
      <charset val="134"/>
    </font>
    <font>
      <sz val="10"/>
      <color rgb="FFFF0000"/>
      <name val="等线"/>
      <charset val="134"/>
    </font>
    <font>
      <sz val="10"/>
      <color rgb="FFFF0000"/>
      <name val="等线"/>
      <charset val="134"/>
    </font>
    <font>
      <sz val="10"/>
      <name val="等线"/>
      <charset val="134"/>
    </font>
    <font>
      <sz val="10"/>
      <color rgb="FFFF0000"/>
      <name val="等线"/>
      <charset val="134"/>
    </font>
    <font>
      <sz val="10"/>
      <name val="等线"/>
      <charset val="134"/>
    </font>
    <font>
      <b/>
      <sz val="11"/>
      <name val="等线"/>
      <charset val="134"/>
    </font>
    <font>
      <sz val="10"/>
      <name val="等线"/>
      <charset val="134"/>
    </font>
    <font>
      <sz val="10"/>
      <name val="等线"/>
      <charset val="134"/>
    </font>
    <font>
      <sz val="11"/>
      <color rgb="FF0000FF"/>
      <name val="等线"/>
      <charset val="134"/>
    </font>
    <font>
      <sz val="10"/>
      <name val="等线"/>
      <charset val="134"/>
    </font>
    <font>
      <sz val="11"/>
      <color rgb="FF00B050"/>
      <name val="等线"/>
      <charset val="134"/>
    </font>
    <font>
      <sz val="11"/>
      <color rgb="FF9A38D7"/>
      <name val="等线"/>
      <charset val="134"/>
    </font>
    <font>
      <sz val="10"/>
      <color rgb="FF000000"/>
      <name val="等线"/>
      <charset val="134"/>
    </font>
    <font>
      <sz val="11"/>
      <color rgb="FFF5C400"/>
      <name val="等线"/>
      <charset val="134"/>
    </font>
    <font>
      <sz val="10"/>
      <color rgb="FF000000"/>
      <name val="等线"/>
      <charset val="134"/>
    </font>
    <font>
      <b/>
      <sz val="11"/>
      <color rgb="FFFF0000"/>
      <name val="等线"/>
      <charset val="134"/>
    </font>
    <font>
      <sz val="11"/>
      <color rgb="FF9E1E1A"/>
      <name val="等线"/>
      <charset val="134"/>
    </font>
    <font>
      <sz val="10"/>
      <color rgb="FFFFFFFF"/>
      <name val="等线"/>
      <charset val="134"/>
    </font>
    <font>
      <sz val="10"/>
      <name val="等线"/>
      <charset val="134"/>
    </font>
    <font>
      <sz val="10"/>
      <name val="等线"/>
      <charset val="134"/>
    </font>
    <font>
      <sz val="11"/>
      <name val="等线"/>
      <charset val="134"/>
    </font>
    <font>
      <b/>
      <sz val="10"/>
      <color rgb="FFFF0000"/>
      <name val="等线"/>
      <charset val="134"/>
    </font>
    <font>
      <sz val="9"/>
      <name val="等线"/>
      <family val="2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3EAD5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5F6FF"/>
      </patternFill>
    </fill>
    <fill>
      <patternFill patternType="solid">
        <fgColor rgb="FFFFF9E3"/>
      </patternFill>
    </fill>
    <fill>
      <patternFill patternType="solid">
        <fgColor rgb="FFFFE9E8"/>
      </patternFill>
    </fill>
    <fill>
      <patternFill patternType="none"/>
    </fill>
    <fill>
      <patternFill patternType="solid">
        <fgColor rgb="FFC3EAD5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rgb="FF0000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4" xfId="0" applyFont="1" applyBorder="1" applyAlignment="1">
      <alignment vertical="center" wrapText="1"/>
    </xf>
    <xf numFmtId="0" fontId="6" fillId="0" borderId="4" xfId="0" applyFont="1" applyBorder="1">
      <alignment vertical="center"/>
    </xf>
    <xf numFmtId="0" fontId="0" fillId="0" borderId="4" xfId="0" applyBorder="1">
      <alignment vertical="center"/>
    </xf>
    <xf numFmtId="0" fontId="7" fillId="0" borderId="1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center"/>
    </xf>
    <xf numFmtId="0" fontId="1" fillId="5" borderId="7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9" fillId="0" borderId="8" xfId="0" applyFont="1" applyBorder="1">
      <alignment vertical="center"/>
    </xf>
    <xf numFmtId="0" fontId="10" fillId="2" borderId="3" xfId="0" applyFont="1" applyFill="1" applyBorder="1">
      <alignment vertical="center"/>
    </xf>
    <xf numFmtId="0" fontId="10" fillId="2" borderId="3" xfId="0" applyFont="1" applyFill="1" applyBorder="1" applyAlignment="1">
      <alignment vertical="center" wrapText="1"/>
    </xf>
    <xf numFmtId="0" fontId="10" fillId="2" borderId="9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" fillId="0" borderId="9" xfId="0" applyFont="1" applyBorder="1">
      <alignment vertical="center"/>
    </xf>
    <xf numFmtId="0" fontId="11" fillId="0" borderId="3" xfId="0" applyFont="1" applyBorder="1" applyAlignment="1">
      <alignment vertical="center" wrapText="1"/>
    </xf>
    <xf numFmtId="0" fontId="11" fillId="0" borderId="2" xfId="0" applyFont="1" applyBorder="1">
      <alignment vertical="center"/>
    </xf>
    <xf numFmtId="0" fontId="11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176" fontId="12" fillId="0" borderId="1" xfId="0" applyNumberFormat="1" applyFont="1" applyBorder="1">
      <alignment vertical="center"/>
    </xf>
    <xf numFmtId="0" fontId="10" fillId="3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3" fillId="0" borderId="3" xfId="0" applyFont="1" applyBorder="1">
      <alignment vertical="center"/>
    </xf>
    <xf numFmtId="0" fontId="12" fillId="0" borderId="2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" fillId="0" borderId="3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3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0" borderId="3" xfId="0" applyFont="1" applyBorder="1">
      <alignment vertical="center"/>
    </xf>
    <xf numFmtId="0" fontId="16" fillId="0" borderId="3" xfId="0" applyFont="1" applyBorder="1">
      <alignment vertical="center"/>
    </xf>
    <xf numFmtId="0" fontId="17" fillId="0" borderId="1" xfId="0" applyFont="1" applyBorder="1" applyAlignment="1">
      <alignment vertical="center" wrapText="1"/>
    </xf>
    <xf numFmtId="0" fontId="18" fillId="0" borderId="3" xfId="0" applyFont="1" applyBorder="1">
      <alignment vertical="center"/>
    </xf>
    <xf numFmtId="0" fontId="19" fillId="0" borderId="1" xfId="0" applyFont="1" applyBorder="1" applyAlignment="1">
      <alignment vertical="center" wrapText="1"/>
    </xf>
    <xf numFmtId="0" fontId="2" fillId="0" borderId="3" xfId="0" applyFont="1" applyBorder="1">
      <alignment vertical="center"/>
    </xf>
    <xf numFmtId="0" fontId="20" fillId="0" borderId="3" xfId="0" applyFont="1" applyBorder="1">
      <alignment vertical="center"/>
    </xf>
    <xf numFmtId="0" fontId="21" fillId="0" borderId="3" xfId="0" applyFont="1" applyBorder="1">
      <alignment vertical="center"/>
    </xf>
    <xf numFmtId="0" fontId="17" fillId="0" borderId="1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17" fillId="10" borderId="1" xfId="0" applyFont="1" applyFill="1" applyBorder="1" applyAlignment="1">
      <alignment vertical="center" wrapText="1"/>
    </xf>
    <xf numFmtId="0" fontId="17" fillId="10" borderId="1" xfId="0" applyFont="1" applyFill="1" applyBorder="1">
      <alignment vertical="center"/>
    </xf>
    <xf numFmtId="0" fontId="17" fillId="5" borderId="1" xfId="0" applyFont="1" applyFill="1" applyBorder="1" applyAlignment="1">
      <alignment vertical="center" wrapText="1"/>
    </xf>
    <xf numFmtId="0" fontId="17" fillId="5" borderId="1" xfId="0" applyFont="1" applyFill="1" applyBorder="1">
      <alignment vertical="center"/>
    </xf>
    <xf numFmtId="0" fontId="17" fillId="5" borderId="1" xfId="0" applyFont="1" applyFill="1" applyBorder="1">
      <alignment vertical="center"/>
    </xf>
    <xf numFmtId="0" fontId="0" fillId="11" borderId="1" xfId="0" applyFill="1" applyBorder="1">
      <alignment vertical="center"/>
    </xf>
    <xf numFmtId="0" fontId="0" fillId="4" borderId="13" xfId="0" applyFill="1" applyBorder="1">
      <alignment vertical="center"/>
    </xf>
    <xf numFmtId="0" fontId="0" fillId="11" borderId="13" xfId="0" applyFill="1" applyBorder="1">
      <alignment vertical="center"/>
    </xf>
    <xf numFmtId="0" fontId="11" fillId="12" borderId="1" xfId="0" applyFont="1" applyFill="1" applyBorder="1">
      <alignment vertical="center"/>
    </xf>
    <xf numFmtId="0" fontId="11" fillId="12" borderId="14" xfId="0" applyFont="1" applyFill="1" applyBorder="1">
      <alignment vertical="center"/>
    </xf>
    <xf numFmtId="0" fontId="11" fillId="13" borderId="1" xfId="0" applyFont="1" applyFill="1" applyBorder="1">
      <alignment vertical="center"/>
    </xf>
    <xf numFmtId="0" fontId="11" fillId="12" borderId="6" xfId="0" applyFont="1" applyFill="1" applyBorder="1">
      <alignment vertical="center"/>
    </xf>
    <xf numFmtId="0" fontId="11" fillId="12" borderId="15" xfId="0" applyFont="1" applyFill="1" applyBorder="1">
      <alignment vertical="center"/>
    </xf>
    <xf numFmtId="0" fontId="11" fillId="13" borderId="2" xfId="0" applyFont="1" applyFill="1" applyBorder="1">
      <alignment vertical="center"/>
    </xf>
    <xf numFmtId="0" fontId="11" fillId="12" borderId="2" xfId="0" applyFont="1" applyFill="1" applyBorder="1">
      <alignment vertical="center"/>
    </xf>
    <xf numFmtId="0" fontId="11" fillId="14" borderId="6" xfId="0" applyFont="1" applyFill="1" applyBorder="1">
      <alignment vertical="center"/>
    </xf>
    <xf numFmtId="0" fontId="11" fillId="14" borderId="15" xfId="0" applyFont="1" applyFill="1" applyBorder="1">
      <alignment vertical="center"/>
    </xf>
    <xf numFmtId="0" fontId="11" fillId="15" borderId="2" xfId="0" applyFont="1" applyFill="1" applyBorder="1">
      <alignment vertical="center"/>
    </xf>
    <xf numFmtId="0" fontId="11" fillId="14" borderId="2" xfId="0" applyFont="1" applyFill="1" applyBorder="1">
      <alignment vertical="center"/>
    </xf>
    <xf numFmtId="0" fontId="22" fillId="16" borderId="6" xfId="0" applyFont="1" applyFill="1" applyBorder="1">
      <alignment vertical="center"/>
    </xf>
    <xf numFmtId="0" fontId="22" fillId="16" borderId="15" xfId="0" applyFont="1" applyFill="1" applyBorder="1">
      <alignment vertical="center"/>
    </xf>
    <xf numFmtId="0" fontId="22" fillId="17" borderId="2" xfId="0" applyFont="1" applyFill="1" applyBorder="1">
      <alignment vertical="center"/>
    </xf>
    <xf numFmtId="0" fontId="22" fillId="16" borderId="2" xfId="0" applyFont="1" applyFill="1" applyBorder="1">
      <alignment vertical="center"/>
    </xf>
    <xf numFmtId="49" fontId="11" fillId="12" borderId="15" xfId="0" applyNumberFormat="1" applyFont="1" applyFill="1" applyBorder="1" applyAlignment="1">
      <alignment horizontal="left" vertical="center"/>
    </xf>
    <xf numFmtId="0" fontId="1" fillId="2" borderId="5" xfId="0" applyFont="1" applyFill="1" applyBorder="1">
      <alignment vertical="center"/>
    </xf>
    <xf numFmtId="0" fontId="1" fillId="2" borderId="1" xfId="0" applyFont="1" applyFill="1" applyBorder="1">
      <alignment vertical="center"/>
    </xf>
    <xf numFmtId="177" fontId="1" fillId="2" borderId="5" xfId="0" applyNumberFormat="1" applyFont="1" applyFill="1" applyBorder="1">
      <alignment vertical="center"/>
    </xf>
    <xf numFmtId="0" fontId="1" fillId="2" borderId="5" xfId="0" applyFont="1" applyFill="1" applyBorder="1" applyAlignment="1">
      <alignment vertical="center" wrapText="1"/>
    </xf>
    <xf numFmtId="10" fontId="1" fillId="3" borderId="5" xfId="0" applyNumberFormat="1" applyFont="1" applyFill="1" applyBorder="1">
      <alignment vertical="center"/>
    </xf>
    <xf numFmtId="0" fontId="1" fillId="2" borderId="17" xfId="0" applyFont="1" applyFill="1" applyBorder="1">
      <alignment vertical="center"/>
    </xf>
    <xf numFmtId="177" fontId="1" fillId="0" borderId="3" xfId="0" applyNumberFormat="1" applyFont="1" applyBorder="1">
      <alignment vertical="center"/>
    </xf>
    <xf numFmtId="10" fontId="1" fillId="0" borderId="3" xfId="0" applyNumberFormat="1" applyFont="1" applyBorder="1">
      <alignment vertical="center"/>
    </xf>
    <xf numFmtId="178" fontId="1" fillId="0" borderId="3" xfId="0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vertical="center" wrapText="1"/>
    </xf>
    <xf numFmtId="0" fontId="11" fillId="0" borderId="1" xfId="0" applyFont="1" applyBorder="1">
      <alignment vertical="center"/>
    </xf>
    <xf numFmtId="10" fontId="1" fillId="0" borderId="3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23" fillId="0" borderId="3" xfId="0" applyFont="1" applyBorder="1">
      <alignment vertical="center"/>
    </xf>
    <xf numFmtId="0" fontId="23" fillId="0" borderId="18" xfId="0" applyFont="1" applyBorder="1">
      <alignment vertical="center"/>
    </xf>
    <xf numFmtId="177" fontId="1" fillId="0" borderId="18" xfId="0" applyNumberFormat="1" applyFont="1" applyBorder="1">
      <alignment vertical="center"/>
    </xf>
    <xf numFmtId="0" fontId="23" fillId="0" borderId="1" xfId="0" applyFont="1" applyBorder="1">
      <alignment vertical="center"/>
    </xf>
    <xf numFmtId="177" fontId="1" fillId="0" borderId="1" xfId="0" applyNumberFormat="1" applyFont="1" applyBorder="1">
      <alignment vertical="center"/>
    </xf>
    <xf numFmtId="0" fontId="1" fillId="0" borderId="15" xfId="0" applyFont="1" applyBorder="1">
      <alignment vertical="center"/>
    </xf>
    <xf numFmtId="177" fontId="1" fillId="0" borderId="15" xfId="0" applyNumberFormat="1" applyFont="1" applyBorder="1">
      <alignment vertical="center"/>
    </xf>
    <xf numFmtId="177" fontId="24" fillId="0" borderId="1" xfId="0" applyNumberFormat="1" applyFont="1" applyBorder="1">
      <alignment vertical="center"/>
    </xf>
    <xf numFmtId="0" fontId="23" fillId="0" borderId="15" xfId="0" applyFont="1" applyBorder="1">
      <alignment vertical="center"/>
    </xf>
    <xf numFmtId="10" fontId="1" fillId="0" borderId="3" xfId="0" applyNumberFormat="1" applyFont="1" applyBorder="1">
      <alignment vertical="center"/>
    </xf>
    <xf numFmtId="0" fontId="1" fillId="0" borderId="3" xfId="0" applyFont="1" applyBorder="1">
      <alignment vertical="center"/>
    </xf>
    <xf numFmtId="0" fontId="1" fillId="0" borderId="19" xfId="0" applyFont="1" applyBorder="1">
      <alignment vertical="center"/>
    </xf>
    <xf numFmtId="0" fontId="24" fillId="0" borderId="1" xfId="0" applyFont="1" applyBorder="1">
      <alignment vertical="center"/>
    </xf>
    <xf numFmtId="0" fontId="23" fillId="0" borderId="3" xfId="0" applyFont="1" applyBorder="1">
      <alignment vertical="center"/>
    </xf>
    <xf numFmtId="177" fontId="1" fillId="0" borderId="3" xfId="0" applyNumberFormat="1" applyFont="1" applyBorder="1">
      <alignment vertical="center"/>
    </xf>
    <xf numFmtId="177" fontId="1" fillId="0" borderId="15" xfId="0" applyNumberFormat="1" applyFont="1" applyBorder="1">
      <alignment vertical="center"/>
    </xf>
    <xf numFmtId="0" fontId="1" fillId="0" borderId="1" xfId="0" applyFont="1" applyBorder="1">
      <alignment vertical="center"/>
    </xf>
    <xf numFmtId="177" fontId="1" fillId="0" borderId="3" xfId="0" applyNumberFormat="1" applyFont="1" applyBorder="1">
      <alignment vertical="center"/>
    </xf>
    <xf numFmtId="0" fontId="1" fillId="0" borderId="18" xfId="0" applyFont="1" applyBorder="1">
      <alignment vertical="center"/>
    </xf>
    <xf numFmtId="0" fontId="1" fillId="0" borderId="9" xfId="0" applyFont="1" applyBorder="1">
      <alignment vertical="center"/>
    </xf>
    <xf numFmtId="177" fontId="12" fillId="0" borderId="1" xfId="0" applyNumberFormat="1" applyFont="1" applyBorder="1">
      <alignment vertical="center"/>
    </xf>
    <xf numFmtId="177" fontId="0" fillId="0" borderId="1" xfId="0" applyNumberFormat="1" applyBorder="1">
      <alignment vertical="center"/>
    </xf>
    <xf numFmtId="0" fontId="1" fillId="0" borderId="4" xfId="0" applyFont="1" applyBorder="1">
      <alignment vertical="center"/>
    </xf>
    <xf numFmtId="0" fontId="25" fillId="0" borderId="3" xfId="0" applyFont="1" applyBorder="1">
      <alignment vertical="center"/>
    </xf>
    <xf numFmtId="0" fontId="25" fillId="0" borderId="2" xfId="0" applyFont="1" applyBorder="1">
      <alignment vertical="center"/>
    </xf>
    <xf numFmtId="177" fontId="12" fillId="0" borderId="1" xfId="0" applyNumberFormat="1" applyFont="1" applyBorder="1">
      <alignment vertical="center"/>
    </xf>
    <xf numFmtId="177" fontId="0" fillId="0" borderId="0" xfId="0" applyNumberFormat="1">
      <alignment vertical="center"/>
    </xf>
    <xf numFmtId="0" fontId="0" fillId="0" borderId="20" xfId="0" applyBorder="1">
      <alignment vertical="center"/>
    </xf>
    <xf numFmtId="0" fontId="26" fillId="0" borderId="1" xfId="0" applyFont="1" applyBorder="1">
      <alignment vertical="center"/>
    </xf>
    <xf numFmtId="0" fontId="4" fillId="0" borderId="0" xfId="0" applyFon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6" xfId="0" applyBorder="1">
      <alignment vertical="center"/>
    </xf>
    <xf numFmtId="0" fontId="0" fillId="0" borderId="13" xfId="0" applyBorder="1">
      <alignment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0" borderId="12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成本模型（真实数据）"/>
  <dimension ref="A1:Z49"/>
  <sheetViews>
    <sheetView workbookViewId="0">
      <pane ySplit="2" topLeftCell="A3" activePane="bottomLeft" state="frozen"/>
      <selection pane="bottomLeft"/>
    </sheetView>
  </sheetViews>
  <sheetFormatPr defaultColWidth="13.7109375" defaultRowHeight="18" customHeight="1"/>
  <cols>
    <col min="1" max="1" width="15.7109375" customWidth="1"/>
    <col min="2" max="2" width="19.7109375" customWidth="1"/>
    <col min="3" max="4" width="37.7109375" customWidth="1"/>
    <col min="5" max="5" width="33.7109375" customWidth="1"/>
    <col min="6" max="6" width="13.7109375" customWidth="1"/>
    <col min="7" max="7" width="31.7109375" customWidth="1"/>
    <col min="8" max="8" width="26.7109375" customWidth="1"/>
    <col min="9" max="9" width="21.7109375" customWidth="1"/>
    <col min="10" max="10" width="19.7109375" customWidth="1"/>
    <col min="11" max="11" width="22.5703125" customWidth="1"/>
    <col min="12" max="12" width="25" customWidth="1"/>
    <col min="13" max="13" width="13.140625" customWidth="1"/>
    <col min="14" max="14" width="24.7109375" customWidth="1"/>
    <col min="15" max="15" width="20.7109375" customWidth="1"/>
    <col min="16" max="16" width="25.7109375" customWidth="1"/>
    <col min="17" max="20" width="35.7109375" customWidth="1"/>
  </cols>
  <sheetData>
    <row r="1" spans="1:26" s="133" customFormat="1" ht="42.75">
      <c r="A1" s="26"/>
      <c r="B1" s="27"/>
      <c r="C1" s="26"/>
      <c r="D1" s="28" t="s">
        <v>158</v>
      </c>
      <c r="E1" s="26"/>
      <c r="F1" s="26"/>
      <c r="G1" s="29"/>
      <c r="H1" s="26" t="s">
        <v>159</v>
      </c>
      <c r="I1" s="28" t="s">
        <v>160</v>
      </c>
      <c r="J1" s="26" t="s">
        <v>161</v>
      </c>
      <c r="K1" s="26" t="s">
        <v>162</v>
      </c>
      <c r="L1" s="26" t="s">
        <v>163</v>
      </c>
      <c r="M1" s="30">
        <v>2025.12</v>
      </c>
      <c r="N1" s="26" t="s">
        <v>164</v>
      </c>
      <c r="O1" s="28" t="s">
        <v>165</v>
      </c>
      <c r="P1" s="28" t="s">
        <v>166</v>
      </c>
      <c r="Q1" s="26" t="s">
        <v>167</v>
      </c>
      <c r="R1" s="31" t="s">
        <v>167</v>
      </c>
      <c r="S1" s="31" t="s">
        <v>167</v>
      </c>
      <c r="T1" s="31"/>
      <c r="U1" s="32"/>
      <c r="V1" s="32"/>
      <c r="W1" s="32"/>
      <c r="X1" s="32"/>
      <c r="Y1" s="32"/>
      <c r="Z1" s="32"/>
    </row>
    <row r="2" spans="1:26" s="134" customFormat="1" ht="14.25">
      <c r="A2" s="33" t="s">
        <v>168</v>
      </c>
      <c r="B2" s="33" t="s">
        <v>169</v>
      </c>
      <c r="C2" s="33" t="s">
        <v>170</v>
      </c>
      <c r="D2" s="33" t="s">
        <v>171</v>
      </c>
      <c r="E2" s="33" t="s">
        <v>172</v>
      </c>
      <c r="F2" s="33" t="s">
        <v>173</v>
      </c>
      <c r="G2" s="33" t="s">
        <v>174</v>
      </c>
      <c r="H2" s="33" t="s">
        <v>175</v>
      </c>
      <c r="I2" s="33" t="s">
        <v>35</v>
      </c>
      <c r="J2" s="33" t="s">
        <v>176</v>
      </c>
      <c r="K2" s="34" t="s">
        <v>177</v>
      </c>
      <c r="L2" s="35" t="s">
        <v>36</v>
      </c>
      <c r="M2" s="36" t="s">
        <v>178</v>
      </c>
      <c r="N2" s="33" t="s">
        <v>179</v>
      </c>
      <c r="O2" s="33" t="s">
        <v>180</v>
      </c>
      <c r="P2" s="35" t="s">
        <v>181</v>
      </c>
      <c r="Q2" s="36" t="s">
        <v>182</v>
      </c>
      <c r="R2" s="36" t="s">
        <v>183</v>
      </c>
      <c r="S2" s="36" t="s">
        <v>184</v>
      </c>
      <c r="T2" s="36" t="s">
        <v>185</v>
      </c>
    </row>
    <row r="3" spans="1:26" ht="14.25">
      <c r="A3" s="37" t="s">
        <v>186</v>
      </c>
      <c r="B3" s="137" t="s">
        <v>187</v>
      </c>
      <c r="C3" s="4" t="s">
        <v>188</v>
      </c>
      <c r="D3" s="4"/>
      <c r="E3" s="4" t="s">
        <v>189</v>
      </c>
      <c r="F3" s="4" t="s">
        <v>190</v>
      </c>
      <c r="G3" s="38"/>
      <c r="H3" s="4"/>
      <c r="I3" s="4"/>
      <c r="J3" s="4"/>
      <c r="K3" s="4"/>
      <c r="L3" s="37"/>
      <c r="M3" s="39"/>
      <c r="N3" s="4"/>
      <c r="O3" s="4"/>
      <c r="P3" s="4"/>
      <c r="Q3" s="4"/>
      <c r="R3" s="4"/>
      <c r="S3" s="4"/>
      <c r="T3" s="4"/>
    </row>
    <row r="4" spans="1:26" ht="14.25">
      <c r="A4" s="37" t="s">
        <v>186</v>
      </c>
      <c r="B4" s="138"/>
      <c r="C4" s="4" t="s">
        <v>191</v>
      </c>
      <c r="D4" s="4"/>
      <c r="E4" s="4" t="s">
        <v>189</v>
      </c>
      <c r="F4" s="4" t="s">
        <v>190</v>
      </c>
      <c r="G4" s="38"/>
      <c r="H4" s="4"/>
      <c r="I4" s="4"/>
      <c r="J4" s="4"/>
      <c r="K4" s="4"/>
      <c r="L4" s="37"/>
      <c r="M4" s="39"/>
      <c r="N4" s="4"/>
      <c r="O4" s="4"/>
      <c r="P4" s="4"/>
      <c r="Q4" s="4"/>
      <c r="R4" s="4"/>
      <c r="S4" s="4"/>
      <c r="T4" s="4"/>
    </row>
    <row r="5" spans="1:26" ht="14.25">
      <c r="A5" s="37" t="s">
        <v>186</v>
      </c>
      <c r="B5" s="138"/>
      <c r="C5" s="4" t="s">
        <v>14</v>
      </c>
      <c r="D5" s="4"/>
      <c r="E5" s="4" t="s">
        <v>189</v>
      </c>
      <c r="F5" s="4" t="s">
        <v>190</v>
      </c>
      <c r="G5" s="38"/>
      <c r="H5" s="4"/>
      <c r="I5" s="4"/>
      <c r="J5" s="4"/>
      <c r="K5" s="4"/>
      <c r="L5" s="37"/>
      <c r="M5" s="39"/>
      <c r="N5" s="4"/>
      <c r="O5" s="4"/>
      <c r="P5" s="4"/>
      <c r="Q5" s="4"/>
      <c r="R5" s="4"/>
      <c r="S5" s="4"/>
      <c r="T5" s="4"/>
    </row>
    <row r="6" spans="1:26" ht="14.25">
      <c r="A6" s="37" t="s">
        <v>186</v>
      </c>
      <c r="B6" s="138"/>
      <c r="C6" s="4" t="s">
        <v>15</v>
      </c>
      <c r="D6" s="4"/>
      <c r="E6" s="4" t="s">
        <v>189</v>
      </c>
      <c r="F6" s="4" t="s">
        <v>190</v>
      </c>
      <c r="G6" s="38"/>
      <c r="H6" s="4"/>
      <c r="I6" s="4"/>
      <c r="J6" s="4"/>
      <c r="K6" s="4"/>
      <c r="L6" s="37"/>
      <c r="M6" s="39"/>
      <c r="N6" s="4"/>
      <c r="O6" s="4"/>
      <c r="P6" s="4"/>
      <c r="Q6" s="4"/>
      <c r="R6" s="4"/>
      <c r="S6" s="4"/>
      <c r="T6" s="4"/>
    </row>
    <row r="7" spans="1:26" ht="14.25">
      <c r="A7" s="37" t="s">
        <v>186</v>
      </c>
      <c r="B7" s="138"/>
      <c r="C7" s="4" t="s">
        <v>16</v>
      </c>
      <c r="D7" s="4"/>
      <c r="E7" s="4" t="s">
        <v>189</v>
      </c>
      <c r="F7" s="4" t="s">
        <v>190</v>
      </c>
      <c r="G7" s="38"/>
      <c r="H7" s="4"/>
      <c r="I7" s="4"/>
      <c r="J7" s="4"/>
      <c r="K7" s="4"/>
      <c r="L7" s="37"/>
      <c r="M7" s="39"/>
      <c r="N7" s="4"/>
      <c r="O7" s="4"/>
      <c r="P7" s="4"/>
      <c r="Q7" s="4"/>
      <c r="R7" s="4"/>
      <c r="S7" s="4"/>
      <c r="T7" s="4"/>
    </row>
    <row r="8" spans="1:26" ht="14.25">
      <c r="A8" s="37" t="s">
        <v>186</v>
      </c>
      <c r="B8" s="138"/>
      <c r="C8" s="4" t="s">
        <v>17</v>
      </c>
      <c r="D8" s="4"/>
      <c r="E8" s="4" t="s">
        <v>189</v>
      </c>
      <c r="F8" s="4" t="s">
        <v>190</v>
      </c>
      <c r="G8" s="38"/>
      <c r="H8" s="4"/>
      <c r="I8" s="4"/>
      <c r="J8" s="4"/>
      <c r="K8" s="4"/>
      <c r="L8" s="37"/>
      <c r="M8" s="39"/>
      <c r="N8" s="4"/>
      <c r="O8" s="4"/>
      <c r="P8" s="4"/>
      <c r="Q8" s="4"/>
      <c r="R8" s="4"/>
      <c r="S8" s="4"/>
      <c r="T8" s="4"/>
    </row>
    <row r="9" spans="1:26" ht="14.25">
      <c r="A9" s="37" t="s">
        <v>186</v>
      </c>
      <c r="B9" s="138"/>
      <c r="C9" s="4" t="s">
        <v>18</v>
      </c>
      <c r="D9" s="4"/>
      <c r="E9" s="4" t="s">
        <v>189</v>
      </c>
      <c r="F9" s="4" t="s">
        <v>190</v>
      </c>
      <c r="G9" s="38"/>
      <c r="H9" s="4"/>
      <c r="I9" s="4"/>
      <c r="J9" s="4"/>
      <c r="K9" s="4"/>
      <c r="L9" s="37"/>
      <c r="M9" s="39"/>
      <c r="N9" s="4"/>
      <c r="O9" s="4"/>
      <c r="P9" s="4"/>
      <c r="Q9" s="4"/>
      <c r="R9" s="4"/>
      <c r="S9" s="4"/>
      <c r="T9" s="4"/>
    </row>
    <row r="10" spans="1:26" ht="14.25">
      <c r="A10" s="37" t="s">
        <v>186</v>
      </c>
      <c r="B10" s="138"/>
      <c r="C10" s="4" t="s">
        <v>57</v>
      </c>
      <c r="D10" s="4"/>
      <c r="E10" s="4" t="s">
        <v>189</v>
      </c>
      <c r="F10" s="4" t="s">
        <v>190</v>
      </c>
      <c r="G10" s="38"/>
      <c r="H10" s="4"/>
      <c r="I10" s="4"/>
      <c r="J10" s="4"/>
      <c r="K10" s="4"/>
      <c r="L10" s="37"/>
      <c r="M10" s="39"/>
      <c r="N10" s="4"/>
      <c r="O10" s="4"/>
      <c r="P10" s="4"/>
      <c r="Q10" s="4"/>
      <c r="R10" s="4"/>
      <c r="S10" s="4"/>
      <c r="T10" s="4"/>
    </row>
    <row r="11" spans="1:26" ht="14.25">
      <c r="A11" s="37" t="s">
        <v>186</v>
      </c>
      <c r="B11" s="138"/>
      <c r="C11" s="4" t="s">
        <v>59</v>
      </c>
      <c r="D11" s="4"/>
      <c r="E11" s="4" t="s">
        <v>189</v>
      </c>
      <c r="F11" s="4" t="s">
        <v>190</v>
      </c>
      <c r="G11" s="38"/>
      <c r="H11" s="4"/>
      <c r="I11" s="4"/>
      <c r="J11" s="4"/>
      <c r="K11" s="4"/>
      <c r="L11" s="37"/>
      <c r="M11" s="39"/>
      <c r="N11" s="4"/>
      <c r="O11" s="4"/>
      <c r="P11" s="4"/>
      <c r="Q11" s="4"/>
      <c r="R11" s="4"/>
      <c r="S11" s="4"/>
      <c r="T11" s="4"/>
    </row>
    <row r="12" spans="1:26" ht="14.25">
      <c r="A12" s="37" t="s">
        <v>186</v>
      </c>
      <c r="B12" s="138"/>
      <c r="C12" s="4" t="s">
        <v>192</v>
      </c>
      <c r="D12" s="4"/>
      <c r="E12" s="4" t="s">
        <v>189</v>
      </c>
      <c r="F12" s="4" t="s">
        <v>190</v>
      </c>
      <c r="G12" s="38"/>
      <c r="H12" s="4"/>
      <c r="I12" s="4"/>
      <c r="J12" s="4"/>
      <c r="K12" s="4"/>
      <c r="L12" s="37"/>
      <c r="M12" s="39"/>
      <c r="N12" s="4"/>
      <c r="O12" s="4"/>
      <c r="P12" s="4"/>
      <c r="Q12" s="4"/>
      <c r="R12" s="4"/>
      <c r="S12" s="4"/>
      <c r="T12" s="4"/>
    </row>
    <row r="13" spans="1:26" ht="14.25">
      <c r="A13" s="4" t="s">
        <v>186</v>
      </c>
      <c r="B13" s="139" t="s">
        <v>193</v>
      </c>
      <c r="C13" s="4" t="s">
        <v>194</v>
      </c>
      <c r="D13" s="4"/>
      <c r="E13" s="4" t="s">
        <v>189</v>
      </c>
      <c r="F13" s="4" t="s">
        <v>190</v>
      </c>
      <c r="G13" s="38"/>
      <c r="H13" s="4"/>
      <c r="I13" s="4"/>
      <c r="J13" s="4"/>
      <c r="K13" s="4"/>
      <c r="L13" s="37"/>
      <c r="M13" s="39"/>
      <c r="N13" s="4"/>
      <c r="O13" s="4"/>
      <c r="P13" s="4"/>
      <c r="Q13" s="4"/>
      <c r="R13" s="4"/>
      <c r="S13" s="4"/>
      <c r="T13" s="4"/>
    </row>
    <row r="14" spans="1:26" ht="14.25">
      <c r="A14" s="4" t="s">
        <v>186</v>
      </c>
      <c r="B14" s="140"/>
      <c r="C14" s="4" t="s">
        <v>195</v>
      </c>
      <c r="D14" s="4"/>
      <c r="E14" s="4" t="s">
        <v>189</v>
      </c>
      <c r="F14" s="4" t="s">
        <v>190</v>
      </c>
      <c r="G14" s="38"/>
      <c r="H14" s="4"/>
      <c r="I14" s="4"/>
      <c r="J14" s="4"/>
      <c r="K14" s="4"/>
      <c r="L14" s="37"/>
      <c r="M14" s="39"/>
      <c r="N14" s="4"/>
      <c r="O14" s="4"/>
      <c r="P14" s="4"/>
      <c r="Q14" s="4"/>
      <c r="R14" s="4"/>
      <c r="S14" s="4"/>
      <c r="T14" s="4"/>
    </row>
    <row r="15" spans="1:26" ht="14.25">
      <c r="A15" s="4" t="s">
        <v>186</v>
      </c>
      <c r="B15" s="140"/>
      <c r="C15" s="4" t="s">
        <v>196</v>
      </c>
      <c r="D15" s="4"/>
      <c r="E15" s="4" t="s">
        <v>189</v>
      </c>
      <c r="F15" s="4" t="s">
        <v>190</v>
      </c>
      <c r="G15" s="40"/>
      <c r="H15" s="4"/>
      <c r="I15" s="4"/>
      <c r="J15" s="4"/>
      <c r="K15" s="4"/>
      <c r="L15" s="37"/>
      <c r="M15" s="39"/>
      <c r="N15" s="4"/>
      <c r="O15" s="4"/>
      <c r="P15" s="4"/>
      <c r="Q15" s="4"/>
      <c r="R15" s="4"/>
      <c r="S15" s="4"/>
      <c r="T15" s="4"/>
    </row>
    <row r="16" spans="1:26" ht="14.25">
      <c r="A16" s="4" t="s">
        <v>186</v>
      </c>
      <c r="B16" s="140"/>
      <c r="C16" s="4" t="s">
        <v>197</v>
      </c>
      <c r="D16" s="4"/>
      <c r="E16" s="4" t="s">
        <v>189</v>
      </c>
      <c r="F16" s="4" t="s">
        <v>190</v>
      </c>
      <c r="G16" s="40"/>
      <c r="H16" s="4"/>
      <c r="I16" s="4"/>
      <c r="J16" s="4"/>
      <c r="K16" s="4"/>
      <c r="L16" s="37"/>
      <c r="M16" s="39"/>
      <c r="N16" s="4"/>
      <c r="O16" s="4"/>
      <c r="P16" s="4"/>
      <c r="Q16" s="4"/>
      <c r="R16" s="4"/>
      <c r="S16" s="4"/>
      <c r="T16" s="4"/>
    </row>
    <row r="17" spans="1:20" ht="14.25">
      <c r="A17" s="4" t="s">
        <v>186</v>
      </c>
      <c r="B17" s="140"/>
      <c r="C17" s="4" t="s">
        <v>198</v>
      </c>
      <c r="D17" s="4"/>
      <c r="E17" s="4" t="s">
        <v>189</v>
      </c>
      <c r="F17" s="4" t="s">
        <v>190</v>
      </c>
      <c r="G17" s="38"/>
      <c r="H17" s="4"/>
      <c r="I17" s="4"/>
      <c r="J17" s="4"/>
      <c r="K17" s="4"/>
      <c r="L17" s="37"/>
      <c r="M17" s="39"/>
      <c r="N17" s="4"/>
      <c r="O17" s="4"/>
      <c r="P17" s="4"/>
      <c r="Q17" s="4"/>
      <c r="R17" s="4"/>
      <c r="S17" s="4"/>
      <c r="T17" s="4"/>
    </row>
    <row r="18" spans="1:20" ht="14.25">
      <c r="A18" s="4" t="s">
        <v>186</v>
      </c>
      <c r="B18" s="140"/>
      <c r="C18" s="4" t="s">
        <v>199</v>
      </c>
      <c r="D18" s="4"/>
      <c r="E18" s="4" t="s">
        <v>189</v>
      </c>
      <c r="F18" s="4" t="s">
        <v>190</v>
      </c>
      <c r="G18" s="38"/>
      <c r="H18" s="4"/>
      <c r="I18" s="4"/>
      <c r="J18" s="4"/>
      <c r="K18" s="4"/>
      <c r="L18" s="37"/>
      <c r="M18" s="39"/>
      <c r="N18" s="4"/>
      <c r="O18" s="4"/>
      <c r="P18" s="4"/>
      <c r="Q18" s="4"/>
      <c r="R18" s="4"/>
      <c r="S18" s="4"/>
      <c r="T18" s="4"/>
    </row>
    <row r="19" spans="1:20" ht="14.25">
      <c r="A19" s="4" t="s">
        <v>186</v>
      </c>
      <c r="B19" s="140"/>
      <c r="C19" s="4" t="s">
        <v>200</v>
      </c>
      <c r="D19" s="4"/>
      <c r="E19" s="4" t="s">
        <v>189</v>
      </c>
      <c r="F19" s="4" t="s">
        <v>190</v>
      </c>
      <c r="G19" s="38"/>
      <c r="H19" s="4"/>
      <c r="I19" s="4"/>
      <c r="J19" s="4"/>
      <c r="K19" s="4"/>
      <c r="L19" s="37"/>
      <c r="M19" s="39"/>
      <c r="N19" s="4"/>
      <c r="O19" s="4"/>
      <c r="P19" s="4"/>
      <c r="Q19" s="4"/>
      <c r="R19" s="4"/>
      <c r="S19" s="4"/>
      <c r="T19" s="4"/>
    </row>
    <row r="20" spans="1:20" ht="14.25">
      <c r="A20" s="4" t="s">
        <v>186</v>
      </c>
      <c r="B20" s="41" t="s">
        <v>94</v>
      </c>
      <c r="C20" s="4" t="s">
        <v>201</v>
      </c>
      <c r="D20" s="4"/>
      <c r="E20" s="4" t="s">
        <v>189</v>
      </c>
      <c r="F20" s="4" t="s">
        <v>190</v>
      </c>
      <c r="G20" s="40"/>
      <c r="H20" s="4"/>
      <c r="I20" s="4">
        <v>60</v>
      </c>
      <c r="J20" s="4"/>
      <c r="K20" s="4"/>
      <c r="L20" s="37"/>
      <c r="M20" s="39"/>
      <c r="N20" s="4"/>
      <c r="O20" s="4"/>
      <c r="P20" s="4"/>
      <c r="Q20" s="4"/>
      <c r="R20" s="4"/>
      <c r="S20" s="4"/>
      <c r="T20" s="4"/>
    </row>
    <row r="21" spans="1:20" ht="14.25">
      <c r="A21" s="4" t="s">
        <v>202</v>
      </c>
      <c r="B21" s="41" t="s">
        <v>94</v>
      </c>
      <c r="C21" s="4" t="s">
        <v>203</v>
      </c>
      <c r="D21" s="4"/>
      <c r="E21" s="4" t="s">
        <v>189</v>
      </c>
      <c r="F21" s="4" t="s">
        <v>204</v>
      </c>
      <c r="G21" s="4"/>
      <c r="H21" s="4">
        <v>70000</v>
      </c>
      <c r="I21" s="4">
        <v>12</v>
      </c>
      <c r="J21" s="4"/>
      <c r="K21" s="4">
        <v>1</v>
      </c>
      <c r="L21" s="37"/>
      <c r="M21" s="39"/>
      <c r="N21" s="4"/>
      <c r="O21" s="4"/>
      <c r="P21" s="4"/>
      <c r="Q21" s="4"/>
      <c r="R21" s="4"/>
      <c r="S21" s="4"/>
      <c r="T21" s="4"/>
    </row>
    <row r="22" spans="1:20" ht="14.25">
      <c r="A22" s="4" t="s">
        <v>186</v>
      </c>
      <c r="B22" s="41" t="s">
        <v>205</v>
      </c>
      <c r="C22" s="4" t="s">
        <v>206</v>
      </c>
      <c r="D22" s="4"/>
      <c r="E22" s="4" t="s">
        <v>189</v>
      </c>
      <c r="F22" s="4" t="s">
        <v>204</v>
      </c>
      <c r="G22" s="40"/>
      <c r="H22" s="4"/>
      <c r="I22" s="4"/>
      <c r="J22" s="4"/>
      <c r="K22" s="4"/>
      <c r="L22" s="37"/>
      <c r="M22" s="39"/>
      <c r="N22" s="4"/>
      <c r="O22" s="4"/>
      <c r="P22" s="4"/>
      <c r="Q22" s="4"/>
      <c r="R22" s="4"/>
      <c r="S22" s="4"/>
      <c r="T22" s="4"/>
    </row>
    <row r="23" spans="1:20" ht="14.25">
      <c r="A23" s="4" t="s">
        <v>186</v>
      </c>
      <c r="B23" s="41" t="s">
        <v>205</v>
      </c>
      <c r="C23" s="4" t="s">
        <v>207</v>
      </c>
      <c r="D23" s="4"/>
      <c r="E23" s="4" t="s">
        <v>189</v>
      </c>
      <c r="F23" s="4" t="s">
        <v>204</v>
      </c>
      <c r="G23" s="40"/>
      <c r="H23" s="4"/>
      <c r="I23" s="4"/>
      <c r="J23" s="4"/>
      <c r="K23" s="4"/>
      <c r="L23" s="37"/>
      <c r="M23" s="39"/>
      <c r="N23" s="4"/>
      <c r="O23" s="4"/>
      <c r="P23" s="4"/>
      <c r="Q23" s="4"/>
      <c r="R23" s="4"/>
      <c r="S23" s="4"/>
      <c r="T23" s="4"/>
    </row>
    <row r="24" spans="1:20" ht="14.25">
      <c r="A24" s="4" t="s">
        <v>186</v>
      </c>
      <c r="B24" s="41" t="s">
        <v>205</v>
      </c>
      <c r="C24" s="4" t="s">
        <v>208</v>
      </c>
      <c r="D24" s="4"/>
      <c r="E24" s="4" t="s">
        <v>189</v>
      </c>
      <c r="F24" s="4" t="s">
        <v>204</v>
      </c>
      <c r="G24" s="40"/>
      <c r="H24" s="4"/>
      <c r="I24" s="4"/>
      <c r="J24" s="4"/>
      <c r="K24" s="4"/>
      <c r="L24" s="37"/>
      <c r="M24" s="39"/>
      <c r="N24" s="4"/>
      <c r="O24" s="4"/>
      <c r="P24" s="4"/>
      <c r="Q24" s="4"/>
      <c r="R24" s="4"/>
      <c r="S24" s="4"/>
      <c r="T24" s="4"/>
    </row>
    <row r="25" spans="1:20" ht="14.25">
      <c r="A25" s="4" t="s">
        <v>186</v>
      </c>
      <c r="B25" s="41" t="s">
        <v>205</v>
      </c>
      <c r="C25" s="4" t="s">
        <v>209</v>
      </c>
      <c r="D25" s="4"/>
      <c r="E25" s="4" t="s">
        <v>189</v>
      </c>
      <c r="F25" s="4" t="s">
        <v>204</v>
      </c>
      <c r="G25" s="40"/>
      <c r="H25" s="4"/>
      <c r="I25" s="4"/>
      <c r="J25" s="4"/>
      <c r="K25" s="4"/>
      <c r="L25" s="37"/>
      <c r="M25" s="39"/>
      <c r="N25" s="4"/>
      <c r="O25" s="4"/>
      <c r="P25" s="4"/>
      <c r="Q25" s="4"/>
      <c r="R25" s="4"/>
      <c r="S25" s="4"/>
      <c r="T25" s="4"/>
    </row>
    <row r="26" spans="1:20" ht="14.25">
      <c r="A26" s="4" t="s">
        <v>186</v>
      </c>
      <c r="B26" s="41" t="s">
        <v>205</v>
      </c>
      <c r="C26" s="4" t="s">
        <v>210</v>
      </c>
      <c r="D26" s="4"/>
      <c r="E26" s="4" t="s">
        <v>189</v>
      </c>
      <c r="F26" s="4" t="s">
        <v>204</v>
      </c>
      <c r="G26" s="40"/>
      <c r="H26" s="4"/>
      <c r="I26" s="4"/>
      <c r="J26" s="4"/>
      <c r="K26" s="4"/>
      <c r="L26" s="37"/>
      <c r="M26" s="39"/>
      <c r="N26" s="4"/>
      <c r="O26" s="4"/>
      <c r="P26" s="4"/>
      <c r="Q26" s="4"/>
      <c r="R26" s="4"/>
      <c r="S26" s="4"/>
      <c r="T26" s="4"/>
    </row>
    <row r="27" spans="1:20" ht="14.25">
      <c r="A27" s="4" t="s">
        <v>186</v>
      </c>
      <c r="B27" s="41" t="s">
        <v>102</v>
      </c>
      <c r="C27" s="4" t="s">
        <v>211</v>
      </c>
      <c r="D27" s="4"/>
      <c r="E27" s="4" t="s">
        <v>189</v>
      </c>
      <c r="F27" s="4" t="s">
        <v>204</v>
      </c>
      <c r="G27" s="40"/>
      <c r="H27" s="4"/>
      <c r="I27" s="4"/>
      <c r="J27" s="4"/>
      <c r="K27" s="4">
        <v>14</v>
      </c>
      <c r="L27" s="37" t="s">
        <v>212</v>
      </c>
      <c r="M27" s="39"/>
      <c r="N27" s="4"/>
      <c r="O27" s="4"/>
      <c r="P27" s="4"/>
      <c r="Q27" s="4"/>
      <c r="R27" s="4"/>
      <c r="S27" s="4"/>
      <c r="T27" s="4"/>
    </row>
    <row r="28" spans="1:20" ht="14.25">
      <c r="A28" s="4" t="s">
        <v>186</v>
      </c>
      <c r="B28" s="41" t="s">
        <v>102</v>
      </c>
      <c r="C28" s="4" t="s">
        <v>213</v>
      </c>
      <c r="D28" s="4"/>
      <c r="E28" s="4" t="s">
        <v>189</v>
      </c>
      <c r="F28" s="4" t="s">
        <v>204</v>
      </c>
      <c r="G28" s="40"/>
      <c r="H28" s="4"/>
      <c r="I28" s="4"/>
      <c r="J28" s="4"/>
      <c r="K28" s="4">
        <v>12</v>
      </c>
      <c r="L28" s="37" t="s">
        <v>212</v>
      </c>
      <c r="M28" s="39"/>
      <c r="N28" s="4"/>
      <c r="O28" s="4"/>
      <c r="P28" s="4"/>
      <c r="Q28" s="4"/>
      <c r="R28" s="4"/>
      <c r="S28" s="4"/>
      <c r="T28" s="4"/>
    </row>
    <row r="29" spans="1:20" ht="14.25">
      <c r="A29" s="4" t="s">
        <v>186</v>
      </c>
      <c r="B29" s="41" t="s">
        <v>102</v>
      </c>
      <c r="C29" s="4" t="s">
        <v>214</v>
      </c>
      <c r="D29" s="4"/>
      <c r="E29" s="4" t="s">
        <v>189</v>
      </c>
      <c r="F29" s="4" t="s">
        <v>204</v>
      </c>
      <c r="G29" s="40"/>
      <c r="H29" s="4"/>
      <c r="I29" s="4"/>
      <c r="J29" s="4"/>
      <c r="K29" s="4">
        <v>10</v>
      </c>
      <c r="L29" s="37" t="s">
        <v>212</v>
      </c>
      <c r="M29" s="39"/>
      <c r="N29" s="4"/>
      <c r="O29" s="4"/>
      <c r="P29" s="4"/>
      <c r="Q29" s="4"/>
      <c r="R29" s="4"/>
      <c r="S29" s="4"/>
      <c r="T29" s="4"/>
    </row>
    <row r="30" spans="1:20" ht="14.25">
      <c r="A30" s="4" t="s">
        <v>186</v>
      </c>
      <c r="B30" s="41" t="s">
        <v>102</v>
      </c>
      <c r="C30" s="4" t="s">
        <v>215</v>
      </c>
      <c r="D30" s="4"/>
      <c r="E30" s="4" t="s">
        <v>189</v>
      </c>
      <c r="F30" s="4" t="s">
        <v>204</v>
      </c>
      <c r="G30" s="40"/>
      <c r="H30" s="4"/>
      <c r="I30" s="4"/>
      <c r="J30" s="4"/>
      <c r="K30" s="4">
        <v>700</v>
      </c>
      <c r="L30" s="37" t="s">
        <v>212</v>
      </c>
      <c r="M30" s="39"/>
      <c r="N30" s="4"/>
      <c r="O30" s="4"/>
      <c r="P30" s="4"/>
      <c r="Q30" s="4"/>
      <c r="R30" s="4"/>
      <c r="S30" s="4"/>
      <c r="T30" s="4"/>
    </row>
    <row r="31" spans="1:20" ht="14.25">
      <c r="A31" s="4" t="s">
        <v>186</v>
      </c>
      <c r="B31" s="41" t="s">
        <v>102</v>
      </c>
      <c r="C31" s="4" t="s">
        <v>216</v>
      </c>
      <c r="D31" s="4"/>
      <c r="E31" s="4" t="s">
        <v>189</v>
      </c>
      <c r="F31" s="4" t="s">
        <v>204</v>
      </c>
      <c r="G31" s="40"/>
      <c r="H31" s="4"/>
      <c r="I31" s="4"/>
      <c r="J31" s="4"/>
      <c r="K31" s="4">
        <v>14</v>
      </c>
      <c r="L31" s="37" t="s">
        <v>212</v>
      </c>
      <c r="M31" s="39"/>
      <c r="N31" s="4"/>
      <c r="O31" s="4"/>
      <c r="P31" s="4"/>
      <c r="Q31" s="4"/>
      <c r="R31" s="4"/>
      <c r="S31" s="4"/>
      <c r="T31" s="4"/>
    </row>
    <row r="32" spans="1:20" ht="14.25">
      <c r="A32" s="4" t="s">
        <v>202</v>
      </c>
      <c r="B32" s="41" t="s">
        <v>102</v>
      </c>
      <c r="C32" s="4" t="s">
        <v>217</v>
      </c>
      <c r="D32" s="4"/>
      <c r="E32" s="4" t="s">
        <v>189</v>
      </c>
      <c r="F32" s="4" t="s">
        <v>204</v>
      </c>
      <c r="G32" s="40"/>
      <c r="H32" s="4"/>
      <c r="I32" s="4"/>
      <c r="J32" s="4"/>
      <c r="K32" s="4"/>
      <c r="L32" s="37"/>
      <c r="M32" s="39"/>
      <c r="N32" s="4"/>
      <c r="O32" s="4"/>
      <c r="P32" s="4"/>
      <c r="Q32" s="4"/>
      <c r="R32" s="4"/>
      <c r="S32" s="4"/>
      <c r="T32" s="4"/>
    </row>
    <row r="33" spans="1:20" ht="14.25">
      <c r="A33" s="4" t="s">
        <v>218</v>
      </c>
      <c r="B33" s="41" t="s">
        <v>219</v>
      </c>
      <c r="C33" s="4" t="s">
        <v>220</v>
      </c>
      <c r="D33" s="4"/>
      <c r="E33" s="4" t="s">
        <v>189</v>
      </c>
      <c r="F33" s="4" t="s">
        <v>204</v>
      </c>
      <c r="G33" s="4"/>
      <c r="H33" s="4">
        <v>85000</v>
      </c>
      <c r="I33" s="4">
        <v>60</v>
      </c>
      <c r="J33" s="4"/>
      <c r="K33" s="4">
        <v>1</v>
      </c>
      <c r="L33" s="37"/>
      <c r="M33" s="39"/>
      <c r="N33" s="4"/>
      <c r="O33" s="4"/>
      <c r="P33" s="4"/>
      <c r="Q33" s="4"/>
      <c r="R33" s="4"/>
      <c r="S33" s="4"/>
      <c r="T33" s="4"/>
    </row>
    <row r="34" spans="1:20" ht="14.25">
      <c r="A34" s="4" t="s">
        <v>202</v>
      </c>
      <c r="B34" s="41" t="s">
        <v>219</v>
      </c>
      <c r="C34" s="4" t="s">
        <v>221</v>
      </c>
      <c r="D34" s="4"/>
      <c r="E34" s="4" t="s">
        <v>189</v>
      </c>
      <c r="F34" s="4" t="s">
        <v>204</v>
      </c>
      <c r="G34" s="42"/>
      <c r="H34" s="4">
        <v>25000</v>
      </c>
      <c r="I34" s="4">
        <v>12</v>
      </c>
      <c r="J34" s="4"/>
      <c r="K34" s="4">
        <v>1</v>
      </c>
      <c r="L34" s="37"/>
      <c r="M34" s="39"/>
      <c r="N34" s="4"/>
      <c r="O34" s="4"/>
      <c r="P34" s="4"/>
      <c r="Q34" s="4"/>
      <c r="R34" s="4"/>
      <c r="S34" s="4"/>
      <c r="T34" s="4"/>
    </row>
    <row r="35" spans="1:20" ht="46.5" customHeight="1">
      <c r="A35" s="4" t="s">
        <v>222</v>
      </c>
      <c r="B35" s="41" t="s">
        <v>219</v>
      </c>
      <c r="C35" s="4" t="s">
        <v>219</v>
      </c>
      <c r="D35" s="4"/>
      <c r="E35" s="4" t="s">
        <v>189</v>
      </c>
      <c r="F35" s="4" t="s">
        <v>204</v>
      </c>
      <c r="G35" s="19" t="s">
        <v>223</v>
      </c>
      <c r="H35" s="4">
        <v>30230000</v>
      </c>
      <c r="I35" s="4">
        <v>120</v>
      </c>
      <c r="J35" s="4"/>
      <c r="K35" s="4">
        <v>1</v>
      </c>
      <c r="L35" s="37"/>
      <c r="M35" s="39"/>
      <c r="N35" s="4"/>
      <c r="O35" s="4"/>
      <c r="P35" s="4"/>
      <c r="Q35" s="4"/>
      <c r="R35" s="4"/>
      <c r="S35" s="4"/>
      <c r="T35" s="4"/>
    </row>
    <row r="36" spans="1:20" ht="14.25">
      <c r="A36" s="4" t="s">
        <v>222</v>
      </c>
      <c r="B36" s="41" t="s">
        <v>219</v>
      </c>
      <c r="C36" s="4" t="s">
        <v>224</v>
      </c>
      <c r="D36" s="4"/>
      <c r="E36" s="4" t="s">
        <v>189</v>
      </c>
      <c r="F36" s="4" t="s">
        <v>204</v>
      </c>
      <c r="G36" s="4"/>
      <c r="H36" s="4">
        <v>4.5</v>
      </c>
      <c r="I36" s="4">
        <v>240</v>
      </c>
      <c r="J36" s="4"/>
      <c r="K36" s="4">
        <v>1560</v>
      </c>
      <c r="L36" s="37" t="s">
        <v>225</v>
      </c>
      <c r="M36" s="39"/>
      <c r="N36" s="4"/>
      <c r="O36" s="4"/>
      <c r="P36" s="4"/>
      <c r="Q36" s="4"/>
      <c r="R36" s="4"/>
      <c r="S36" s="4"/>
      <c r="T36" s="4"/>
    </row>
    <row r="37" spans="1:20" ht="14.25">
      <c r="A37" s="4" t="s">
        <v>202</v>
      </c>
      <c r="B37" s="41" t="s">
        <v>219</v>
      </c>
      <c r="C37" s="4" t="s">
        <v>226</v>
      </c>
      <c r="D37" s="4"/>
      <c r="E37" s="4" t="s">
        <v>189</v>
      </c>
      <c r="F37" s="4" t="s">
        <v>204</v>
      </c>
      <c r="G37" s="4"/>
      <c r="H37" s="40">
        <v>350000</v>
      </c>
      <c r="I37" s="4">
        <v>12</v>
      </c>
      <c r="J37" s="4"/>
      <c r="K37" s="4">
        <v>1</v>
      </c>
      <c r="L37" s="37"/>
      <c r="M37" s="39"/>
      <c r="N37" s="4"/>
      <c r="O37" s="4"/>
      <c r="P37" s="4"/>
      <c r="Q37" s="4"/>
      <c r="R37" s="4"/>
      <c r="S37" s="4"/>
      <c r="T37" s="4"/>
    </row>
    <row r="38" spans="1:20" ht="14.25">
      <c r="A38" s="4" t="s">
        <v>202</v>
      </c>
      <c r="B38" s="41" t="s">
        <v>219</v>
      </c>
      <c r="C38" s="4" t="s">
        <v>227</v>
      </c>
      <c r="D38" s="4" t="s">
        <v>228</v>
      </c>
      <c r="E38" s="4" t="s">
        <v>189</v>
      </c>
      <c r="F38" s="4" t="s">
        <v>204</v>
      </c>
      <c r="G38" s="37"/>
      <c r="H38" s="39">
        <v>0.89</v>
      </c>
      <c r="I38" s="4">
        <v>1</v>
      </c>
      <c r="J38" s="37"/>
      <c r="K38" s="39">
        <v>51252</v>
      </c>
      <c r="L38" s="37" t="s">
        <v>229</v>
      </c>
      <c r="M38" s="39"/>
      <c r="N38" s="40">
        <v>45460</v>
      </c>
      <c r="O38" s="4"/>
      <c r="P38" s="4"/>
      <c r="Q38" s="4"/>
      <c r="R38" s="4"/>
      <c r="S38" s="4"/>
      <c r="T38" s="4"/>
    </row>
    <row r="39" spans="1:20" ht="14.25">
      <c r="A39" s="4" t="s">
        <v>202</v>
      </c>
      <c r="B39" s="41" t="s">
        <v>219</v>
      </c>
      <c r="C39" s="4" t="s">
        <v>230</v>
      </c>
      <c r="D39" s="4" t="s">
        <v>231</v>
      </c>
      <c r="E39" s="4" t="s">
        <v>189</v>
      </c>
      <c r="F39" s="4" t="s">
        <v>204</v>
      </c>
      <c r="G39" s="37"/>
      <c r="H39" s="39">
        <v>0.85</v>
      </c>
      <c r="I39" s="4">
        <v>1</v>
      </c>
      <c r="J39" s="37"/>
      <c r="K39" s="3">
        <v>251742</v>
      </c>
      <c r="L39" s="37" t="s">
        <v>229</v>
      </c>
      <c r="M39" s="39"/>
      <c r="N39" s="4">
        <v>210456</v>
      </c>
      <c r="O39" s="4"/>
      <c r="P39" s="4"/>
      <c r="Q39" s="4"/>
      <c r="R39" s="4"/>
      <c r="S39" s="4"/>
      <c r="T39" s="4"/>
    </row>
    <row r="40" spans="1:20" ht="14.25">
      <c r="A40" s="4" t="s">
        <v>202</v>
      </c>
      <c r="B40" s="41" t="s">
        <v>219</v>
      </c>
      <c r="C40" s="4" t="s">
        <v>232</v>
      </c>
      <c r="D40" s="4" t="s">
        <v>233</v>
      </c>
      <c r="E40" s="4" t="s">
        <v>189</v>
      </c>
      <c r="F40" s="4" t="s">
        <v>204</v>
      </c>
      <c r="G40" s="37"/>
      <c r="H40" s="39">
        <v>0.69</v>
      </c>
      <c r="I40" s="4">
        <v>1</v>
      </c>
      <c r="J40" s="37"/>
      <c r="K40" s="39">
        <v>217699</v>
      </c>
      <c r="L40" s="37" t="s">
        <v>229</v>
      </c>
      <c r="M40" s="39"/>
      <c r="N40" s="4">
        <v>150316</v>
      </c>
      <c r="O40" s="4"/>
      <c r="P40" s="4"/>
      <c r="Q40" s="4"/>
      <c r="R40" s="4"/>
      <c r="S40" s="4"/>
      <c r="T40" s="4"/>
    </row>
    <row r="41" spans="1:20" ht="14.25">
      <c r="A41" s="4" t="s">
        <v>202</v>
      </c>
      <c r="B41" s="41" t="s">
        <v>219</v>
      </c>
      <c r="C41" s="4" t="s">
        <v>234</v>
      </c>
      <c r="D41" s="4" t="s">
        <v>235</v>
      </c>
      <c r="E41" s="4" t="s">
        <v>189</v>
      </c>
      <c r="F41" s="4" t="s">
        <v>204</v>
      </c>
      <c r="G41" s="37"/>
      <c r="H41" s="39">
        <v>0.89</v>
      </c>
      <c r="I41" s="4">
        <v>1</v>
      </c>
      <c r="J41" s="37"/>
      <c r="K41" s="39">
        <v>87285</v>
      </c>
      <c r="L41" s="37" t="s">
        <v>229</v>
      </c>
      <c r="M41" s="39"/>
      <c r="N41" s="4">
        <v>79429</v>
      </c>
      <c r="O41" s="4"/>
      <c r="P41" s="4"/>
      <c r="Q41" s="4"/>
      <c r="R41" s="4"/>
      <c r="S41" s="4"/>
      <c r="T41" s="4"/>
    </row>
    <row r="42" spans="1:20" ht="14.25">
      <c r="A42" s="4" t="s">
        <v>202</v>
      </c>
      <c r="B42" s="41" t="s">
        <v>219</v>
      </c>
      <c r="C42" s="4" t="s">
        <v>236</v>
      </c>
      <c r="D42" s="4"/>
      <c r="E42" s="4" t="s">
        <v>189</v>
      </c>
      <c r="F42" s="4" t="s">
        <v>204</v>
      </c>
      <c r="G42" s="4" t="s">
        <v>237</v>
      </c>
      <c r="H42" s="4"/>
      <c r="I42" s="4">
        <v>12</v>
      </c>
      <c r="J42" s="4"/>
      <c r="K42" s="4">
        <v>2</v>
      </c>
      <c r="L42" s="37"/>
      <c r="M42" s="39"/>
      <c r="N42" s="4"/>
      <c r="O42" s="4"/>
      <c r="P42" s="4"/>
      <c r="Q42" s="4"/>
      <c r="R42" s="4"/>
      <c r="S42" s="4"/>
      <c r="T42" s="4"/>
    </row>
    <row r="43" spans="1:20" ht="14.25">
      <c r="A43" s="4" t="s">
        <v>218</v>
      </c>
      <c r="B43" s="41" t="s">
        <v>86</v>
      </c>
      <c r="C43" s="4" t="s">
        <v>238</v>
      </c>
      <c r="D43" s="4"/>
      <c r="E43" s="4" t="s">
        <v>189</v>
      </c>
      <c r="F43" s="4" t="s">
        <v>204</v>
      </c>
      <c r="G43" s="4" t="s">
        <v>238</v>
      </c>
      <c r="H43" s="4">
        <v>2880000</v>
      </c>
      <c r="I43" s="4">
        <v>60</v>
      </c>
      <c r="J43" s="4"/>
      <c r="K43" s="4">
        <v>1</v>
      </c>
      <c r="L43" s="37"/>
      <c r="M43" s="39"/>
      <c r="N43" s="4"/>
      <c r="O43" s="4"/>
      <c r="P43" s="4"/>
      <c r="Q43" s="4"/>
      <c r="R43" s="4"/>
      <c r="S43" s="4"/>
      <c r="T43" s="4"/>
    </row>
    <row r="44" spans="1:20" ht="14.25">
      <c r="A44" s="4" t="s">
        <v>202</v>
      </c>
      <c r="B44" s="41" t="s">
        <v>86</v>
      </c>
      <c r="C44" s="4" t="s">
        <v>239</v>
      </c>
      <c r="D44" s="4"/>
      <c r="E44" s="6" t="s">
        <v>86</v>
      </c>
      <c r="F44" s="4" t="s">
        <v>190</v>
      </c>
      <c r="G44" s="4"/>
      <c r="H44" s="4"/>
      <c r="I44" s="4">
        <v>12</v>
      </c>
      <c r="J44" s="4"/>
      <c r="K44" s="4">
        <v>2</v>
      </c>
      <c r="L44" s="37"/>
      <c r="M44" s="39"/>
      <c r="N44" s="4"/>
      <c r="O44" s="4"/>
      <c r="P44" s="4"/>
      <c r="Q44" s="4"/>
      <c r="R44" s="4"/>
      <c r="S44" s="4"/>
      <c r="T44" s="4"/>
    </row>
    <row r="45" spans="1:20" ht="14.25">
      <c r="A45" s="4" t="s">
        <v>202</v>
      </c>
      <c r="B45" s="41" t="s">
        <v>123</v>
      </c>
      <c r="C45" s="4" t="s">
        <v>240</v>
      </c>
      <c r="D45" s="4"/>
      <c r="E45" s="4" t="s">
        <v>123</v>
      </c>
      <c r="F45" s="4" t="s">
        <v>190</v>
      </c>
      <c r="G45" s="4"/>
      <c r="H45" s="4"/>
      <c r="I45" s="4">
        <v>12</v>
      </c>
      <c r="J45" s="4"/>
      <c r="K45" s="4">
        <v>2</v>
      </c>
      <c r="L45" s="37"/>
      <c r="M45" s="39"/>
      <c r="N45" s="4"/>
      <c r="O45" s="4"/>
      <c r="P45" s="4"/>
      <c r="Q45" s="4"/>
      <c r="R45" s="4"/>
      <c r="S45" s="4"/>
      <c r="T45" s="4"/>
    </row>
    <row r="46" spans="1:20" ht="14.25">
      <c r="A46" s="4" t="s">
        <v>104</v>
      </c>
      <c r="B46" s="41" t="s">
        <v>102</v>
      </c>
      <c r="C46" s="4" t="s">
        <v>241</v>
      </c>
      <c r="D46" s="4"/>
      <c r="E46" s="4" t="s">
        <v>102</v>
      </c>
      <c r="F46" s="4" t="s">
        <v>190</v>
      </c>
      <c r="G46" s="4"/>
      <c r="H46" s="43">
        <v>512410</v>
      </c>
      <c r="I46" s="4">
        <v>12</v>
      </c>
      <c r="J46" s="4"/>
      <c r="K46" s="4"/>
      <c r="L46" s="37"/>
      <c r="M46" s="39"/>
      <c r="N46" s="4"/>
      <c r="O46" s="4"/>
      <c r="P46" s="4"/>
      <c r="Q46" s="4"/>
      <c r="R46" s="4"/>
      <c r="S46" s="4"/>
      <c r="T46" s="4"/>
    </row>
    <row r="47" spans="1:20" ht="14.25">
      <c r="A47" s="4" t="s">
        <v>104</v>
      </c>
      <c r="B47" s="41" t="s">
        <v>102</v>
      </c>
      <c r="C47" s="4" t="s">
        <v>242</v>
      </c>
      <c r="D47" s="4"/>
      <c r="E47" s="4" t="s">
        <v>102</v>
      </c>
      <c r="F47" s="4" t="s">
        <v>190</v>
      </c>
      <c r="G47" s="40"/>
      <c r="H47" s="43">
        <v>3371115</v>
      </c>
      <c r="I47" s="4">
        <v>12</v>
      </c>
      <c r="J47" s="4"/>
      <c r="K47" s="4"/>
      <c r="L47" s="37"/>
      <c r="M47" s="39"/>
      <c r="N47" s="4"/>
      <c r="O47" s="4"/>
      <c r="P47" s="4"/>
      <c r="Q47" s="4"/>
      <c r="R47" s="4"/>
      <c r="S47" s="4"/>
      <c r="T47" s="4"/>
    </row>
    <row r="48" spans="1:20" ht="14.25">
      <c r="A48" s="4" t="s">
        <v>202</v>
      </c>
      <c r="B48" s="41" t="s">
        <v>102</v>
      </c>
      <c r="C48" s="4" t="s">
        <v>243</v>
      </c>
      <c r="D48" s="4"/>
      <c r="E48" s="4" t="s">
        <v>102</v>
      </c>
      <c r="F48" s="4" t="s">
        <v>190</v>
      </c>
      <c r="G48" s="40"/>
      <c r="H48" s="43">
        <v>1173700</v>
      </c>
      <c r="I48" s="4">
        <v>12</v>
      </c>
      <c r="J48" s="4"/>
      <c r="K48" s="4"/>
      <c r="L48" s="37"/>
      <c r="M48" s="39"/>
      <c r="N48" s="4"/>
      <c r="O48" s="4"/>
      <c r="P48" s="4"/>
      <c r="Q48" s="4"/>
      <c r="R48" s="4"/>
      <c r="S48" s="4"/>
      <c r="T48" s="4"/>
    </row>
    <row r="49" spans="1:20" ht="14.25">
      <c r="A49" s="4" t="s">
        <v>202</v>
      </c>
      <c r="B49" s="41" t="s">
        <v>205</v>
      </c>
      <c r="C49" s="4" t="s">
        <v>244</v>
      </c>
      <c r="D49" s="4"/>
      <c r="E49" s="4" t="s">
        <v>245</v>
      </c>
      <c r="F49" s="4" t="s">
        <v>190</v>
      </c>
      <c r="G49" s="40"/>
      <c r="H49" s="4"/>
      <c r="I49" s="4"/>
      <c r="J49" s="4"/>
      <c r="K49" s="4"/>
      <c r="L49" s="37"/>
      <c r="M49" s="39"/>
      <c r="N49" s="4"/>
      <c r="O49" s="4"/>
      <c r="P49" s="4"/>
      <c r="Q49" s="4"/>
      <c r="R49" s="4"/>
      <c r="S49" s="4"/>
      <c r="T49" s="4"/>
    </row>
  </sheetData>
  <autoFilter ref="A2:T49"/>
  <mergeCells count="2">
    <mergeCell ref="B3:B12"/>
    <mergeCell ref="B13:B19"/>
  </mergeCells>
  <phoneticPr fontId="2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资产编码"/>
  <dimension ref="A1:H153"/>
  <sheetViews>
    <sheetView workbookViewId="0"/>
  </sheetViews>
  <sheetFormatPr defaultColWidth="13.7109375" defaultRowHeight="18" customHeight="1"/>
  <cols>
    <col min="1" max="1" width="22" customWidth="1"/>
    <col min="6" max="6" width="17" customWidth="1"/>
    <col min="8" max="8" width="26.42578125" style="132" customWidth="1"/>
  </cols>
  <sheetData>
    <row r="1" spans="1:8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9" t="s">
        <v>39</v>
      </c>
      <c r="H1" s="8" t="s">
        <v>40</v>
      </c>
    </row>
    <row r="2" spans="1:8">
      <c r="A2" s="10"/>
      <c r="B2" s="11"/>
      <c r="C2" s="11"/>
      <c r="D2" s="11"/>
      <c r="E2" s="11" t="s">
        <v>41</v>
      </c>
      <c r="F2" s="12" t="s">
        <v>42</v>
      </c>
      <c r="G2" s="13"/>
      <c r="H2" s="14" t="s">
        <v>460</v>
      </c>
    </row>
    <row r="3" spans="1:8">
      <c r="A3" s="10"/>
      <c r="B3" s="13"/>
      <c r="C3" s="13"/>
      <c r="D3" s="13"/>
      <c r="E3" s="13"/>
      <c r="F3" s="13"/>
      <c r="G3" s="13"/>
      <c r="H3" s="10"/>
    </row>
    <row r="4" spans="1:8">
      <c r="A4" s="10"/>
      <c r="B4" s="13"/>
      <c r="C4" s="13"/>
      <c r="D4" s="13"/>
      <c r="E4" s="13"/>
      <c r="F4" s="13"/>
      <c r="G4" s="13"/>
      <c r="H4" s="10"/>
    </row>
    <row r="5" spans="1:8">
      <c r="A5" s="10"/>
      <c r="B5" s="13"/>
      <c r="C5" s="13"/>
      <c r="D5" s="13"/>
      <c r="E5" s="13"/>
      <c r="F5" s="13"/>
      <c r="G5" s="13"/>
      <c r="H5" s="10"/>
    </row>
    <row r="6" spans="1:8">
      <c r="A6" s="10"/>
      <c r="B6" s="13"/>
      <c r="C6" s="13"/>
      <c r="D6" s="13"/>
      <c r="E6" s="13"/>
      <c r="F6" s="13"/>
      <c r="G6" s="13"/>
      <c r="H6" s="10"/>
    </row>
    <row r="7" spans="1:8">
      <c r="A7" s="10"/>
      <c r="B7" s="13"/>
      <c r="C7" s="13"/>
      <c r="D7" s="13"/>
      <c r="E7" s="13"/>
      <c r="F7" s="13"/>
      <c r="G7" s="13"/>
      <c r="H7" s="10"/>
    </row>
    <row r="8" spans="1:8">
      <c r="A8" s="10"/>
      <c r="B8" s="13"/>
      <c r="C8" s="13"/>
      <c r="D8" s="13"/>
      <c r="E8" s="13"/>
      <c r="F8" s="13"/>
      <c r="G8" s="13"/>
      <c r="H8" s="10"/>
    </row>
    <row r="9" spans="1:8">
      <c r="A9" s="10"/>
      <c r="B9" s="13"/>
      <c r="C9" s="13"/>
      <c r="D9" s="13"/>
      <c r="E9" s="13"/>
      <c r="F9" s="13"/>
      <c r="G9" s="13"/>
      <c r="H9" s="10"/>
    </row>
    <row r="10" spans="1:8">
      <c r="A10" s="10"/>
      <c r="B10" s="13"/>
      <c r="C10" s="13"/>
      <c r="D10" s="13"/>
      <c r="E10" s="13"/>
      <c r="F10" s="13"/>
      <c r="G10" s="13"/>
      <c r="H10" s="10"/>
    </row>
    <row r="11" spans="1:8">
      <c r="A11" s="10"/>
      <c r="B11" s="13"/>
      <c r="C11" s="13"/>
      <c r="D11" s="13"/>
      <c r="E11" s="13"/>
      <c r="F11" s="13"/>
      <c r="G11" s="13"/>
      <c r="H11" s="10"/>
    </row>
    <row r="12" spans="1:8">
      <c r="A12" s="10"/>
      <c r="B12" s="13"/>
      <c r="C12" s="13"/>
      <c r="D12" s="13"/>
      <c r="E12" s="13"/>
      <c r="F12" s="13"/>
      <c r="G12" s="13"/>
      <c r="H12" s="10"/>
    </row>
    <row r="13" spans="1:8">
      <c r="A13" s="10"/>
      <c r="B13" s="13"/>
      <c r="C13" s="13"/>
      <c r="D13" s="13"/>
      <c r="E13" s="13"/>
      <c r="F13" s="13"/>
      <c r="G13" s="13"/>
      <c r="H13" s="10"/>
    </row>
    <row r="14" spans="1:8">
      <c r="A14" s="10"/>
      <c r="B14" s="13"/>
      <c r="C14" s="13"/>
      <c r="D14" s="13"/>
      <c r="E14" s="13"/>
      <c r="F14" s="13"/>
      <c r="G14" s="13"/>
      <c r="H14" s="10"/>
    </row>
    <row r="15" spans="1:8">
      <c r="A15" s="10"/>
      <c r="B15" s="13"/>
      <c r="C15" s="13"/>
      <c r="D15" s="13"/>
      <c r="E15" s="13"/>
      <c r="F15" s="13"/>
      <c r="G15" s="13"/>
      <c r="H15" s="10"/>
    </row>
    <row r="16" spans="1:8">
      <c r="A16" s="10"/>
      <c r="B16" s="13"/>
      <c r="C16" s="13"/>
      <c r="D16" s="13"/>
      <c r="E16" s="13"/>
      <c r="F16" s="13"/>
      <c r="G16" s="13"/>
      <c r="H16" s="10"/>
    </row>
    <row r="17" spans="1:8">
      <c r="A17" s="10"/>
      <c r="B17" s="13"/>
      <c r="C17" s="13"/>
      <c r="D17" s="13"/>
      <c r="E17" s="13"/>
      <c r="F17" s="13"/>
      <c r="G17" s="13"/>
      <c r="H17" s="10"/>
    </row>
    <row r="18" spans="1:8">
      <c r="A18" s="10"/>
      <c r="B18" s="13"/>
      <c r="C18" s="13"/>
      <c r="D18" s="13"/>
      <c r="E18" s="13"/>
      <c r="F18" s="13"/>
      <c r="G18" s="13"/>
      <c r="H18" s="10"/>
    </row>
    <row r="19" spans="1:8">
      <c r="A19" s="10"/>
      <c r="B19" s="13"/>
      <c r="C19" s="13"/>
      <c r="D19" s="13"/>
      <c r="E19" s="13"/>
      <c r="F19" s="13"/>
      <c r="G19" s="13"/>
      <c r="H19" s="10"/>
    </row>
    <row r="20" spans="1:8">
      <c r="A20" s="10"/>
      <c r="B20" s="13"/>
      <c r="C20" s="13"/>
      <c r="D20" s="13"/>
      <c r="E20" s="13"/>
      <c r="F20" s="13"/>
      <c r="G20" s="13"/>
      <c r="H20" s="10"/>
    </row>
    <row r="21" spans="1:8">
      <c r="A21" s="10"/>
      <c r="B21" s="13"/>
      <c r="C21" s="13"/>
      <c r="D21" s="13"/>
      <c r="E21" s="13"/>
      <c r="F21" s="13"/>
      <c r="G21" s="13"/>
      <c r="H21" s="10"/>
    </row>
    <row r="22" spans="1:8">
      <c r="A22" s="10"/>
      <c r="B22" s="13"/>
      <c r="C22" s="13"/>
      <c r="D22" s="13"/>
      <c r="E22" s="13"/>
      <c r="F22" s="13"/>
      <c r="G22" s="13"/>
      <c r="H22" s="10"/>
    </row>
    <row r="23" spans="1:8">
      <c r="A23" s="10"/>
      <c r="B23" s="13"/>
      <c r="C23" s="13"/>
      <c r="D23" s="13"/>
      <c r="E23" s="13"/>
      <c r="F23" s="13"/>
      <c r="G23" s="13"/>
      <c r="H23" s="10"/>
    </row>
    <row r="24" spans="1:8">
      <c r="A24" s="10"/>
      <c r="B24" s="13"/>
      <c r="C24" s="13"/>
      <c r="D24" s="13"/>
      <c r="E24" s="13"/>
      <c r="F24" s="13"/>
      <c r="G24" s="13"/>
      <c r="H24" s="10"/>
    </row>
    <row r="25" spans="1:8">
      <c r="A25" s="10"/>
      <c r="B25" s="13"/>
      <c r="C25" s="13"/>
      <c r="D25" s="13"/>
      <c r="E25" s="13"/>
      <c r="F25" s="13"/>
      <c r="G25" s="13"/>
      <c r="H25" s="10"/>
    </row>
    <row r="26" spans="1:8">
      <c r="A26" s="10"/>
      <c r="B26" s="13"/>
      <c r="C26" s="13"/>
      <c r="D26" s="13"/>
      <c r="E26" s="13"/>
      <c r="F26" s="13"/>
      <c r="G26" s="13"/>
      <c r="H26" s="10"/>
    </row>
    <row r="27" spans="1:8">
      <c r="A27" s="10"/>
      <c r="B27" s="13"/>
      <c r="C27" s="13"/>
      <c r="D27" s="13"/>
      <c r="E27" s="13"/>
      <c r="F27" s="13"/>
      <c r="G27" s="13"/>
      <c r="H27" s="10"/>
    </row>
    <row r="28" spans="1:8">
      <c r="A28" s="10"/>
      <c r="B28" s="13"/>
      <c r="C28" s="13"/>
      <c r="D28" s="13"/>
      <c r="E28" s="13"/>
      <c r="F28" s="13"/>
      <c r="G28" s="13"/>
      <c r="H28" s="10"/>
    </row>
    <row r="29" spans="1:8">
      <c r="A29" s="10"/>
      <c r="B29" s="13"/>
      <c r="C29" s="13"/>
      <c r="D29" s="13"/>
      <c r="E29" s="13"/>
      <c r="F29" s="13"/>
      <c r="G29" s="13"/>
      <c r="H29" s="10"/>
    </row>
    <row r="30" spans="1:8">
      <c r="A30" s="10"/>
      <c r="B30" s="13"/>
      <c r="C30" s="13"/>
      <c r="D30" s="13"/>
      <c r="E30" s="13"/>
      <c r="F30" s="13"/>
      <c r="G30" s="13"/>
      <c r="H30" s="10"/>
    </row>
    <row r="31" spans="1:8">
      <c r="A31" s="10"/>
      <c r="B31" s="13"/>
      <c r="C31" s="13"/>
      <c r="D31" s="13"/>
      <c r="E31" s="13"/>
      <c r="F31" s="13"/>
      <c r="G31" s="13"/>
      <c r="H31" s="10"/>
    </row>
    <row r="32" spans="1:8">
      <c r="A32" s="10"/>
      <c r="B32" s="13"/>
      <c r="C32" s="13"/>
      <c r="D32" s="13"/>
      <c r="E32" s="13"/>
      <c r="F32" s="13"/>
      <c r="G32" s="13"/>
      <c r="H32" s="10"/>
    </row>
    <row r="33" spans="1:8">
      <c r="A33" s="10"/>
      <c r="B33" s="13"/>
      <c r="C33" s="13"/>
      <c r="D33" s="13"/>
      <c r="E33" s="13"/>
      <c r="F33" s="13"/>
      <c r="G33" s="13"/>
      <c r="H33" s="10"/>
    </row>
    <row r="34" spans="1:8">
      <c r="A34" s="10"/>
      <c r="B34" s="13"/>
      <c r="C34" s="13"/>
      <c r="D34" s="13"/>
      <c r="E34" s="13"/>
      <c r="F34" s="13"/>
      <c r="G34" s="13"/>
      <c r="H34" s="10"/>
    </row>
    <row r="35" spans="1:8">
      <c r="A35" s="10"/>
      <c r="B35" s="13"/>
      <c r="C35" s="13"/>
      <c r="D35" s="13"/>
      <c r="E35" s="13"/>
      <c r="F35" s="13"/>
      <c r="G35" s="13"/>
      <c r="H35" s="10"/>
    </row>
    <row r="36" spans="1:8">
      <c r="A36" s="10"/>
      <c r="B36" s="13"/>
      <c r="C36" s="13"/>
      <c r="D36" s="13"/>
      <c r="E36" s="13"/>
      <c r="F36" s="13"/>
      <c r="G36" s="13"/>
      <c r="H36" s="10"/>
    </row>
    <row r="37" spans="1:8">
      <c r="A37" s="10"/>
      <c r="B37" s="13"/>
      <c r="C37" s="13"/>
      <c r="D37" s="13"/>
      <c r="E37" s="13"/>
      <c r="F37" s="13"/>
      <c r="G37" s="13"/>
      <c r="H37" s="10"/>
    </row>
    <row r="38" spans="1:8">
      <c r="A38" s="10"/>
      <c r="B38" s="13"/>
      <c r="C38" s="13"/>
      <c r="D38" s="13"/>
      <c r="E38" s="13"/>
      <c r="F38" s="13"/>
      <c r="G38" s="13"/>
      <c r="H38" s="10"/>
    </row>
    <row r="39" spans="1:8">
      <c r="A39" s="10"/>
      <c r="B39" s="13"/>
      <c r="C39" s="13"/>
      <c r="D39" s="13"/>
      <c r="E39" s="13"/>
      <c r="F39" s="13"/>
      <c r="G39" s="13"/>
      <c r="H39" s="10"/>
    </row>
    <row r="40" spans="1:8">
      <c r="A40" s="10"/>
      <c r="B40" s="13"/>
      <c r="C40" s="13"/>
      <c r="D40" s="13"/>
      <c r="E40" s="13"/>
      <c r="F40" s="13"/>
      <c r="G40" s="13"/>
      <c r="H40" s="10"/>
    </row>
    <row r="41" spans="1:8">
      <c r="A41" s="10"/>
      <c r="B41" s="13"/>
      <c r="C41" s="13"/>
      <c r="D41" s="13"/>
      <c r="E41" s="13"/>
      <c r="F41" s="13"/>
      <c r="G41" s="13"/>
      <c r="H41" s="10"/>
    </row>
    <row r="42" spans="1:8">
      <c r="A42" s="10"/>
      <c r="B42" s="13"/>
      <c r="C42" s="13"/>
      <c r="D42" s="13"/>
      <c r="E42" s="13"/>
      <c r="F42" s="13"/>
      <c r="G42" s="13"/>
      <c r="H42" s="10"/>
    </row>
    <row r="43" spans="1:8">
      <c r="A43" s="10"/>
      <c r="B43" s="13"/>
      <c r="C43" s="13"/>
      <c r="D43" s="13"/>
      <c r="E43" s="13"/>
      <c r="F43" s="13"/>
      <c r="G43" s="13"/>
      <c r="H43" s="10"/>
    </row>
    <row r="44" spans="1:8">
      <c r="A44" s="10"/>
      <c r="B44" s="13"/>
      <c r="C44" s="13"/>
      <c r="D44" s="13"/>
      <c r="E44" s="13"/>
      <c r="F44" s="13"/>
      <c r="G44" s="13"/>
      <c r="H44" s="10"/>
    </row>
    <row r="45" spans="1:8">
      <c r="A45" s="10"/>
      <c r="B45" s="13"/>
      <c r="C45" s="13"/>
      <c r="D45" s="13"/>
      <c r="E45" s="13"/>
      <c r="F45" s="13"/>
      <c r="G45" s="13"/>
      <c r="H45" s="10"/>
    </row>
    <row r="46" spans="1:8">
      <c r="A46" s="10"/>
      <c r="B46" s="13"/>
      <c r="C46" s="13"/>
      <c r="D46" s="13"/>
      <c r="E46" s="13"/>
      <c r="F46" s="13"/>
      <c r="G46" s="13"/>
      <c r="H46" s="10"/>
    </row>
    <row r="47" spans="1:8">
      <c r="A47" s="10"/>
      <c r="B47" s="13"/>
      <c r="C47" s="13"/>
      <c r="D47" s="13"/>
      <c r="E47" s="13"/>
      <c r="F47" s="13"/>
      <c r="G47" s="13"/>
      <c r="H47" s="10"/>
    </row>
    <row r="48" spans="1:8">
      <c r="A48" s="10"/>
      <c r="B48" s="13"/>
      <c r="C48" s="13"/>
      <c r="D48" s="13"/>
      <c r="E48" s="13"/>
      <c r="F48" s="13"/>
      <c r="G48" s="13"/>
      <c r="H48" s="10"/>
    </row>
    <row r="49" spans="1:8">
      <c r="A49" s="10"/>
      <c r="B49" s="13"/>
      <c r="C49" s="13"/>
      <c r="D49" s="13"/>
      <c r="E49" s="13"/>
      <c r="F49" s="13"/>
      <c r="G49" s="13"/>
      <c r="H49" s="10"/>
    </row>
    <row r="50" spans="1:8">
      <c r="A50" s="10"/>
      <c r="B50" s="13"/>
      <c r="C50" s="13"/>
      <c r="D50" s="13"/>
      <c r="E50" s="13"/>
      <c r="F50" s="13"/>
      <c r="G50" s="13"/>
      <c r="H50" s="10"/>
    </row>
    <row r="51" spans="1:8">
      <c r="A51" s="10"/>
      <c r="B51" s="13"/>
      <c r="C51" s="13"/>
      <c r="D51" s="13"/>
      <c r="E51" s="13"/>
      <c r="F51" s="13"/>
      <c r="G51" s="13"/>
      <c r="H51" s="10"/>
    </row>
    <row r="52" spans="1:8">
      <c r="A52" s="10"/>
      <c r="B52" s="13"/>
      <c r="C52" s="13"/>
      <c r="D52" s="13"/>
      <c r="E52" s="13"/>
      <c r="F52" s="13"/>
      <c r="G52" s="13"/>
      <c r="H52" s="10"/>
    </row>
    <row r="53" spans="1:8">
      <c r="A53" s="10"/>
      <c r="B53" s="13"/>
      <c r="C53" s="13"/>
      <c r="D53" s="13"/>
      <c r="E53" s="13"/>
      <c r="F53" s="13"/>
      <c r="G53" s="13"/>
      <c r="H53" s="10"/>
    </row>
    <row r="54" spans="1:8">
      <c r="A54" s="10"/>
      <c r="B54" s="13"/>
      <c r="C54" s="13"/>
      <c r="D54" s="13"/>
      <c r="E54" s="13"/>
      <c r="F54" s="13"/>
      <c r="G54" s="13"/>
      <c r="H54" s="10"/>
    </row>
    <row r="55" spans="1:8">
      <c r="A55" s="10"/>
      <c r="B55" s="13"/>
      <c r="C55" s="13"/>
      <c r="D55" s="13"/>
      <c r="E55" s="13"/>
      <c r="F55" s="13"/>
      <c r="G55" s="13"/>
      <c r="H55" s="10"/>
    </row>
    <row r="56" spans="1:8">
      <c r="A56" s="10"/>
      <c r="B56" s="13"/>
      <c r="C56" s="13"/>
      <c r="D56" s="13"/>
      <c r="E56" s="13"/>
      <c r="F56" s="13"/>
      <c r="G56" s="13"/>
      <c r="H56" s="10"/>
    </row>
    <row r="57" spans="1:8">
      <c r="A57" s="10"/>
      <c r="B57" s="13"/>
      <c r="C57" s="13"/>
      <c r="D57" s="13"/>
      <c r="E57" s="13"/>
      <c r="F57" s="13"/>
      <c r="G57" s="13"/>
      <c r="H57" s="10"/>
    </row>
    <row r="58" spans="1:8">
      <c r="A58" s="10"/>
      <c r="B58" s="13"/>
      <c r="C58" s="13"/>
      <c r="D58" s="13"/>
      <c r="E58" s="13"/>
      <c r="F58" s="13"/>
      <c r="G58" s="13"/>
      <c r="H58" s="10"/>
    </row>
    <row r="59" spans="1:8">
      <c r="A59" s="10"/>
      <c r="B59" s="13"/>
      <c r="C59" s="13"/>
      <c r="D59" s="13"/>
      <c r="E59" s="13"/>
      <c r="F59" s="13"/>
      <c r="G59" s="13"/>
      <c r="H59" s="10"/>
    </row>
    <row r="60" spans="1:8">
      <c r="A60" s="10"/>
      <c r="B60" s="13"/>
      <c r="C60" s="13"/>
      <c r="D60" s="13"/>
      <c r="E60" s="13"/>
      <c r="F60" s="13"/>
      <c r="G60" s="13"/>
      <c r="H60" s="10"/>
    </row>
    <row r="61" spans="1:8">
      <c r="A61" s="10"/>
      <c r="B61" s="13"/>
      <c r="C61" s="13"/>
      <c r="D61" s="13"/>
      <c r="E61" s="13"/>
      <c r="F61" s="13"/>
      <c r="G61" s="13"/>
      <c r="H61" s="10"/>
    </row>
    <row r="62" spans="1:8">
      <c r="A62" s="10"/>
      <c r="B62" s="13"/>
      <c r="C62" s="13"/>
      <c r="D62" s="13"/>
      <c r="E62" s="13"/>
      <c r="F62" s="13"/>
      <c r="G62" s="13"/>
      <c r="H62" s="10"/>
    </row>
    <row r="63" spans="1:8">
      <c r="A63" s="10"/>
      <c r="B63" s="13"/>
      <c r="C63" s="13"/>
      <c r="D63" s="13"/>
      <c r="E63" s="13"/>
      <c r="F63" s="13"/>
      <c r="G63" s="13"/>
      <c r="H63" s="10"/>
    </row>
    <row r="64" spans="1:8">
      <c r="A64" s="10"/>
      <c r="B64" s="13"/>
      <c r="C64" s="13"/>
      <c r="D64" s="13"/>
      <c r="E64" s="13"/>
      <c r="F64" s="13"/>
      <c r="G64" s="13"/>
      <c r="H64" s="10"/>
    </row>
    <row r="65" spans="1:8">
      <c r="A65" s="10"/>
      <c r="B65" s="13"/>
      <c r="C65" s="13"/>
      <c r="D65" s="13"/>
      <c r="E65" s="13"/>
      <c r="F65" s="13"/>
      <c r="G65" s="13"/>
      <c r="H65" s="10"/>
    </row>
    <row r="66" spans="1:8">
      <c r="A66" s="10"/>
      <c r="B66" s="13"/>
      <c r="C66" s="13"/>
      <c r="D66" s="13"/>
      <c r="E66" s="13"/>
      <c r="F66" s="13"/>
      <c r="G66" s="13"/>
      <c r="H66" s="10"/>
    </row>
    <row r="67" spans="1:8">
      <c r="A67" s="10"/>
      <c r="B67" s="13"/>
      <c r="C67" s="13"/>
      <c r="D67" s="13"/>
      <c r="E67" s="13"/>
      <c r="F67" s="13"/>
      <c r="G67" s="13"/>
      <c r="H67" s="10"/>
    </row>
    <row r="68" spans="1:8">
      <c r="A68" s="10"/>
      <c r="B68" s="13"/>
      <c r="C68" s="13"/>
      <c r="D68" s="13"/>
      <c r="E68" s="13"/>
      <c r="F68" s="13"/>
      <c r="G68" s="13"/>
      <c r="H68" s="10"/>
    </row>
    <row r="69" spans="1:8">
      <c r="A69" s="10"/>
      <c r="B69" s="13"/>
      <c r="C69" s="13"/>
      <c r="D69" s="13"/>
      <c r="E69" s="13"/>
      <c r="F69" s="13"/>
      <c r="G69" s="13"/>
      <c r="H69" s="10"/>
    </row>
    <row r="70" spans="1:8">
      <c r="A70" s="10"/>
      <c r="B70" s="13"/>
      <c r="C70" s="13"/>
      <c r="D70" s="13"/>
      <c r="E70" s="13"/>
      <c r="F70" s="13"/>
      <c r="G70" s="13"/>
      <c r="H70" s="10"/>
    </row>
    <row r="71" spans="1:8">
      <c r="A71" s="10"/>
      <c r="B71" s="13"/>
      <c r="C71" s="13"/>
      <c r="D71" s="13"/>
      <c r="E71" s="13"/>
      <c r="F71" s="13"/>
      <c r="G71" s="13"/>
      <c r="H71" s="10"/>
    </row>
    <row r="72" spans="1:8">
      <c r="A72" s="10"/>
      <c r="B72" s="13"/>
      <c r="C72" s="13"/>
      <c r="D72" s="13"/>
      <c r="E72" s="13"/>
      <c r="F72" s="13"/>
      <c r="G72" s="13"/>
      <c r="H72" s="10"/>
    </row>
    <row r="73" spans="1:8">
      <c r="A73" s="10"/>
      <c r="B73" s="13"/>
      <c r="C73" s="13"/>
      <c r="D73" s="13"/>
      <c r="E73" s="13"/>
      <c r="F73" s="13"/>
      <c r="G73" s="13"/>
      <c r="H73" s="10"/>
    </row>
    <row r="74" spans="1:8">
      <c r="A74" s="10"/>
      <c r="B74" s="13"/>
      <c r="C74" s="13"/>
      <c r="D74" s="13"/>
      <c r="E74" s="13"/>
      <c r="F74" s="13"/>
      <c r="G74" s="13"/>
      <c r="H74" s="10"/>
    </row>
    <row r="75" spans="1:8">
      <c r="A75" s="10"/>
      <c r="B75" s="13"/>
      <c r="C75" s="13"/>
      <c r="D75" s="13"/>
      <c r="E75" s="13"/>
      <c r="F75" s="13"/>
      <c r="G75" s="13"/>
      <c r="H75" s="10"/>
    </row>
    <row r="76" spans="1:8">
      <c r="A76" s="10"/>
      <c r="B76" s="13"/>
      <c r="C76" s="13"/>
      <c r="D76" s="13"/>
      <c r="E76" s="13"/>
      <c r="F76" s="13"/>
      <c r="G76" s="13"/>
      <c r="H76" s="10"/>
    </row>
    <row r="77" spans="1:8">
      <c r="A77" s="10"/>
      <c r="B77" s="13"/>
      <c r="C77" s="13"/>
      <c r="D77" s="13"/>
      <c r="E77" s="13"/>
      <c r="F77" s="13"/>
      <c r="G77" s="13"/>
      <c r="H77" s="10"/>
    </row>
    <row r="78" spans="1:8">
      <c r="A78" s="10"/>
      <c r="B78" s="13"/>
      <c r="C78" s="13"/>
      <c r="D78" s="13"/>
      <c r="E78" s="13"/>
      <c r="F78" s="13"/>
      <c r="G78" s="13"/>
      <c r="H78" s="10"/>
    </row>
    <row r="79" spans="1:8">
      <c r="A79" s="10"/>
      <c r="B79" s="13"/>
      <c r="C79" s="13"/>
      <c r="D79" s="13"/>
      <c r="E79" s="13"/>
      <c r="F79" s="13"/>
      <c r="G79" s="13"/>
      <c r="H79" s="10"/>
    </row>
    <row r="80" spans="1:8">
      <c r="A80" s="10"/>
      <c r="B80" s="13"/>
      <c r="C80" s="13"/>
      <c r="D80" s="13"/>
      <c r="E80" s="13"/>
      <c r="F80" s="13"/>
      <c r="G80" s="13"/>
      <c r="H80" s="10"/>
    </row>
    <row r="81" spans="1:8">
      <c r="A81" s="10"/>
      <c r="B81" s="13"/>
      <c r="C81" s="13"/>
      <c r="D81" s="13"/>
      <c r="E81" s="13"/>
      <c r="F81" s="13"/>
      <c r="G81" s="13"/>
      <c r="H81" s="10"/>
    </row>
    <row r="82" spans="1:8">
      <c r="A82" s="10"/>
      <c r="B82" s="13"/>
      <c r="C82" s="13"/>
      <c r="D82" s="13"/>
      <c r="E82" s="13"/>
      <c r="F82" s="13"/>
      <c r="G82" s="13"/>
      <c r="H82" s="10"/>
    </row>
    <row r="83" spans="1:8">
      <c r="A83" s="10"/>
      <c r="B83" s="13"/>
      <c r="C83" s="13"/>
      <c r="D83" s="13"/>
      <c r="E83" s="13"/>
      <c r="F83" s="13"/>
      <c r="G83" s="13"/>
      <c r="H83" s="10"/>
    </row>
    <row r="84" spans="1:8">
      <c r="A84" s="10"/>
      <c r="B84" s="13"/>
      <c r="C84" s="13"/>
      <c r="D84" s="13"/>
      <c r="E84" s="13"/>
      <c r="F84" s="13"/>
      <c r="G84" s="13"/>
      <c r="H84" s="10"/>
    </row>
    <row r="85" spans="1:8">
      <c r="A85" s="10"/>
      <c r="B85" s="13"/>
      <c r="C85" s="13"/>
      <c r="D85" s="13"/>
      <c r="E85" s="13"/>
      <c r="F85" s="13"/>
      <c r="G85" s="13"/>
      <c r="H85" s="10"/>
    </row>
    <row r="86" spans="1:8">
      <c r="A86" s="10"/>
      <c r="B86" s="13"/>
      <c r="C86" s="13"/>
      <c r="D86" s="13"/>
      <c r="E86" s="13"/>
      <c r="F86" s="13"/>
      <c r="G86" s="13"/>
      <c r="H86" s="10"/>
    </row>
    <row r="87" spans="1:8">
      <c r="A87" s="10"/>
      <c r="B87" s="13"/>
      <c r="C87" s="13"/>
      <c r="D87" s="13"/>
      <c r="E87" s="13"/>
      <c r="F87" s="13"/>
      <c r="G87" s="13"/>
      <c r="H87" s="10"/>
    </row>
    <row r="88" spans="1:8">
      <c r="A88" s="10"/>
      <c r="B88" s="13"/>
      <c r="C88" s="13"/>
      <c r="D88" s="13"/>
      <c r="E88" s="13"/>
      <c r="F88" s="13"/>
      <c r="G88" s="13"/>
      <c r="H88" s="10"/>
    </row>
    <row r="89" spans="1:8">
      <c r="A89" s="10"/>
      <c r="B89" s="13"/>
      <c r="C89" s="13"/>
      <c r="D89" s="13"/>
      <c r="E89" s="13"/>
      <c r="F89" s="13"/>
      <c r="G89" s="13"/>
      <c r="H89" s="10"/>
    </row>
    <row r="90" spans="1:8">
      <c r="A90" s="10"/>
      <c r="B90" s="13"/>
      <c r="C90" s="13"/>
      <c r="D90" s="13"/>
      <c r="E90" s="13"/>
      <c r="F90" s="13"/>
      <c r="G90" s="13"/>
      <c r="H90" s="10"/>
    </row>
    <row r="91" spans="1:8">
      <c r="A91" s="10"/>
      <c r="B91" s="13"/>
      <c r="C91" s="13"/>
      <c r="D91" s="13"/>
      <c r="E91" s="13"/>
      <c r="F91" s="13"/>
      <c r="G91" s="13"/>
      <c r="H91" s="10"/>
    </row>
    <row r="92" spans="1:8">
      <c r="A92" s="10"/>
      <c r="B92" s="13"/>
      <c r="C92" s="13"/>
      <c r="D92" s="13"/>
      <c r="E92" s="13"/>
      <c r="F92" s="13"/>
      <c r="G92" s="13"/>
      <c r="H92" s="10"/>
    </row>
    <row r="93" spans="1:8">
      <c r="A93" s="10"/>
      <c r="B93" s="13"/>
      <c r="C93" s="13"/>
      <c r="D93" s="13"/>
      <c r="E93" s="13"/>
      <c r="F93" s="13"/>
      <c r="G93" s="13"/>
      <c r="H93" s="10"/>
    </row>
    <row r="94" spans="1:8">
      <c r="A94" s="10"/>
      <c r="B94" s="13"/>
      <c r="C94" s="13"/>
      <c r="D94" s="13"/>
      <c r="E94" s="13"/>
      <c r="F94" s="13"/>
      <c r="G94" s="13"/>
      <c r="H94" s="10"/>
    </row>
    <row r="95" spans="1:8">
      <c r="A95" s="10"/>
      <c r="B95" s="13"/>
      <c r="C95" s="13"/>
      <c r="D95" s="13"/>
      <c r="E95" s="13"/>
      <c r="F95" s="13"/>
      <c r="G95" s="13"/>
      <c r="H95" s="10"/>
    </row>
    <row r="96" spans="1:8">
      <c r="A96" s="10"/>
      <c r="B96" s="13"/>
      <c r="C96" s="13"/>
      <c r="D96" s="13"/>
      <c r="E96" s="13"/>
      <c r="F96" s="13"/>
      <c r="G96" s="13"/>
      <c r="H96" s="10"/>
    </row>
    <row r="97" spans="1:8">
      <c r="A97" s="10"/>
      <c r="B97" s="13"/>
      <c r="C97" s="13"/>
      <c r="D97" s="13"/>
      <c r="E97" s="13"/>
      <c r="F97" s="13"/>
      <c r="G97" s="13"/>
      <c r="H97" s="10"/>
    </row>
    <row r="98" spans="1:8">
      <c r="A98" s="10"/>
      <c r="B98" s="13"/>
      <c r="C98" s="13"/>
      <c r="D98" s="13"/>
      <c r="E98" s="13"/>
      <c r="F98" s="13"/>
      <c r="G98" s="13"/>
      <c r="H98" s="10"/>
    </row>
    <row r="99" spans="1:8">
      <c r="A99" s="10"/>
      <c r="B99" s="13"/>
      <c r="C99" s="13"/>
      <c r="D99" s="13"/>
      <c r="E99" s="13"/>
      <c r="F99" s="13"/>
      <c r="G99" s="13"/>
      <c r="H99" s="10"/>
    </row>
    <row r="100" spans="1:8">
      <c r="A100" s="10"/>
      <c r="B100" s="13"/>
      <c r="C100" s="13"/>
      <c r="D100" s="13"/>
      <c r="E100" s="13"/>
      <c r="F100" s="13"/>
      <c r="G100" s="13"/>
      <c r="H100" s="10"/>
    </row>
    <row r="101" spans="1:8">
      <c r="A101" s="10"/>
      <c r="B101" s="13"/>
      <c r="C101" s="13"/>
      <c r="D101" s="13"/>
      <c r="E101" s="13"/>
      <c r="F101" s="13"/>
      <c r="G101" s="13"/>
      <c r="H101" s="10"/>
    </row>
    <row r="102" spans="1:8">
      <c r="A102" s="10"/>
      <c r="B102" s="13"/>
      <c r="C102" s="13"/>
      <c r="D102" s="13"/>
      <c r="E102" s="13"/>
      <c r="F102" s="13"/>
      <c r="G102" s="13"/>
      <c r="H102" s="10"/>
    </row>
    <row r="103" spans="1:8">
      <c r="A103" s="10"/>
      <c r="B103" s="13"/>
      <c r="C103" s="13"/>
      <c r="D103" s="13"/>
      <c r="E103" s="13"/>
      <c r="F103" s="13"/>
      <c r="G103" s="13"/>
      <c r="H103" s="10"/>
    </row>
    <row r="104" spans="1:8">
      <c r="A104" s="10"/>
      <c r="B104" s="13"/>
      <c r="C104" s="13"/>
      <c r="D104" s="13"/>
      <c r="E104" s="13"/>
      <c r="F104" s="13"/>
      <c r="G104" s="13"/>
      <c r="H104" s="10"/>
    </row>
    <row r="105" spans="1:8">
      <c r="A105" s="10"/>
      <c r="B105" s="13"/>
      <c r="C105" s="13"/>
      <c r="D105" s="13"/>
      <c r="E105" s="13"/>
      <c r="F105" s="13"/>
      <c r="G105" s="13"/>
      <c r="H105" s="10"/>
    </row>
    <row r="106" spans="1:8">
      <c r="A106" s="10"/>
      <c r="B106" s="13"/>
      <c r="C106" s="13"/>
      <c r="D106" s="13"/>
      <c r="E106" s="13"/>
      <c r="F106" s="13"/>
      <c r="G106" s="13"/>
      <c r="H106" s="10"/>
    </row>
    <row r="107" spans="1:8">
      <c r="A107" s="10"/>
      <c r="B107" s="13"/>
      <c r="C107" s="13"/>
      <c r="D107" s="13"/>
      <c r="E107" s="13"/>
      <c r="F107" s="13"/>
      <c r="G107" s="13"/>
      <c r="H107" s="10"/>
    </row>
    <row r="108" spans="1:8">
      <c r="A108" s="10"/>
      <c r="B108" s="13"/>
      <c r="C108" s="13"/>
      <c r="D108" s="13"/>
      <c r="E108" s="13"/>
      <c r="F108" s="13"/>
      <c r="G108" s="13"/>
      <c r="H108" s="10"/>
    </row>
    <row r="109" spans="1:8">
      <c r="A109" s="10"/>
      <c r="B109" s="13"/>
      <c r="C109" s="13"/>
      <c r="D109" s="13"/>
      <c r="E109" s="13"/>
      <c r="F109" s="13"/>
      <c r="G109" s="13"/>
      <c r="H109" s="10"/>
    </row>
    <row r="110" spans="1:8">
      <c r="A110" s="10"/>
      <c r="B110" s="13"/>
      <c r="C110" s="13"/>
      <c r="D110" s="13"/>
      <c r="E110" s="13"/>
      <c r="F110" s="13"/>
      <c r="G110" s="13"/>
      <c r="H110" s="10"/>
    </row>
    <row r="111" spans="1:8">
      <c r="A111" s="10"/>
      <c r="B111" s="13"/>
      <c r="C111" s="13"/>
      <c r="D111" s="13"/>
      <c r="E111" s="13"/>
      <c r="F111" s="13"/>
      <c r="G111" s="13"/>
      <c r="H111" s="10"/>
    </row>
    <row r="112" spans="1:8">
      <c r="A112" s="10"/>
      <c r="B112" s="13"/>
      <c r="C112" s="13"/>
      <c r="D112" s="13"/>
      <c r="E112" s="13"/>
      <c r="F112" s="13"/>
      <c r="G112" s="13"/>
      <c r="H112" s="10"/>
    </row>
    <row r="113" spans="1:8">
      <c r="A113" s="10"/>
      <c r="B113" s="13"/>
      <c r="C113" s="13"/>
      <c r="D113" s="13"/>
      <c r="E113" s="13"/>
      <c r="F113" s="13"/>
      <c r="G113" s="13"/>
      <c r="H113" s="10"/>
    </row>
    <row r="114" spans="1:8">
      <c r="A114" s="10"/>
      <c r="B114" s="13"/>
      <c r="C114" s="13"/>
      <c r="D114" s="13"/>
      <c r="E114" s="13"/>
      <c r="F114" s="13"/>
      <c r="G114" s="13"/>
      <c r="H114" s="10"/>
    </row>
    <row r="115" spans="1:8">
      <c r="A115" s="10"/>
      <c r="B115" s="13"/>
      <c r="C115" s="13"/>
      <c r="D115" s="13"/>
      <c r="E115" s="13"/>
      <c r="F115" s="13"/>
      <c r="G115" s="13"/>
      <c r="H115" s="10"/>
    </row>
    <row r="116" spans="1:8">
      <c r="A116" s="10"/>
      <c r="B116" s="13"/>
      <c r="C116" s="13"/>
      <c r="D116" s="13"/>
      <c r="E116" s="13"/>
      <c r="F116" s="13"/>
      <c r="G116" s="13"/>
      <c r="H116" s="10"/>
    </row>
    <row r="117" spans="1:8">
      <c r="A117" s="10"/>
      <c r="B117" s="13"/>
      <c r="C117" s="13"/>
      <c r="D117" s="13"/>
      <c r="E117" s="13"/>
      <c r="F117" s="13"/>
      <c r="G117" s="13"/>
      <c r="H117" s="10"/>
    </row>
    <row r="118" spans="1:8">
      <c r="A118" s="10"/>
      <c r="B118" s="13"/>
      <c r="C118" s="13"/>
      <c r="D118" s="13"/>
      <c r="E118" s="13"/>
      <c r="F118" s="13"/>
      <c r="G118" s="13"/>
      <c r="H118" s="10"/>
    </row>
    <row r="119" spans="1:8">
      <c r="A119" s="10"/>
      <c r="B119" s="13"/>
      <c r="C119" s="13"/>
      <c r="D119" s="13"/>
      <c r="E119" s="13"/>
      <c r="F119" s="13"/>
      <c r="G119" s="13"/>
      <c r="H119" s="10"/>
    </row>
    <row r="120" spans="1:8">
      <c r="A120" s="10"/>
      <c r="B120" s="13"/>
      <c r="C120" s="13"/>
      <c r="D120" s="13"/>
      <c r="E120" s="13"/>
      <c r="F120" s="13"/>
      <c r="G120" s="13"/>
      <c r="H120" s="10"/>
    </row>
    <row r="121" spans="1:8">
      <c r="A121" s="10"/>
      <c r="B121" s="13"/>
      <c r="C121" s="13"/>
      <c r="D121" s="13"/>
      <c r="E121" s="13"/>
      <c r="F121" s="13"/>
      <c r="G121" s="13"/>
      <c r="H121" s="10"/>
    </row>
    <row r="122" spans="1:8">
      <c r="A122" s="10"/>
      <c r="B122" s="13"/>
      <c r="C122" s="13"/>
      <c r="D122" s="13"/>
      <c r="E122" s="13"/>
      <c r="F122" s="13"/>
      <c r="G122" s="13"/>
      <c r="H122" s="10"/>
    </row>
    <row r="123" spans="1:8">
      <c r="A123" s="10"/>
      <c r="B123" s="13"/>
      <c r="C123" s="13"/>
      <c r="D123" s="13"/>
      <c r="E123" s="13"/>
      <c r="F123" s="13"/>
      <c r="G123" s="13"/>
      <c r="H123" s="10"/>
    </row>
    <row r="124" spans="1:8">
      <c r="A124" s="10"/>
      <c r="B124" s="13"/>
      <c r="C124" s="13"/>
      <c r="D124" s="13"/>
      <c r="E124" s="13"/>
      <c r="F124" s="13"/>
      <c r="G124" s="13"/>
      <c r="H124" s="10"/>
    </row>
    <row r="125" spans="1:8">
      <c r="A125" s="10"/>
      <c r="B125" s="13"/>
      <c r="C125" s="13"/>
      <c r="D125" s="13"/>
      <c r="E125" s="13"/>
      <c r="F125" s="13"/>
      <c r="G125" s="13"/>
      <c r="H125" s="10"/>
    </row>
    <row r="126" spans="1:8">
      <c r="A126" s="10"/>
      <c r="B126" s="13"/>
      <c r="C126" s="13"/>
      <c r="D126" s="13"/>
      <c r="E126" s="13"/>
      <c r="F126" s="13"/>
      <c r="G126" s="13"/>
      <c r="H126" s="10"/>
    </row>
    <row r="127" spans="1:8">
      <c r="A127" s="10"/>
      <c r="B127" s="13"/>
      <c r="C127" s="13"/>
      <c r="D127" s="13"/>
      <c r="E127" s="13"/>
      <c r="F127" s="13"/>
      <c r="G127" s="13"/>
      <c r="H127" s="10"/>
    </row>
    <row r="128" spans="1:8">
      <c r="A128" s="10"/>
      <c r="B128" s="13"/>
      <c r="C128" s="13"/>
      <c r="D128" s="13"/>
      <c r="E128" s="13"/>
      <c r="F128" s="13"/>
      <c r="G128" s="13"/>
      <c r="H128" s="10"/>
    </row>
    <row r="129" spans="1:8">
      <c r="A129" s="10"/>
      <c r="B129" s="13"/>
      <c r="C129" s="13"/>
      <c r="D129" s="13"/>
      <c r="E129" s="13"/>
      <c r="F129" s="13"/>
      <c r="G129" s="13"/>
      <c r="H129" s="10"/>
    </row>
    <row r="130" spans="1:8">
      <c r="A130" s="10"/>
      <c r="B130" s="13"/>
      <c r="C130" s="13"/>
      <c r="D130" s="13"/>
      <c r="E130" s="13"/>
      <c r="F130" s="13"/>
      <c r="G130" s="13"/>
      <c r="H130" s="10"/>
    </row>
    <row r="131" spans="1:8">
      <c r="A131" s="10"/>
      <c r="B131" s="13"/>
      <c r="C131" s="13"/>
      <c r="D131" s="13"/>
      <c r="E131" s="13"/>
      <c r="F131" s="13"/>
      <c r="G131" s="13"/>
      <c r="H131" s="10"/>
    </row>
    <row r="132" spans="1:8">
      <c r="A132" s="10"/>
      <c r="B132" s="13"/>
      <c r="C132" s="13"/>
      <c r="D132" s="13"/>
      <c r="E132" s="13"/>
      <c r="F132" s="13"/>
      <c r="G132" s="13"/>
      <c r="H132" s="10"/>
    </row>
    <row r="133" spans="1:8">
      <c r="A133" s="10"/>
      <c r="B133" s="13"/>
      <c r="C133" s="13"/>
      <c r="D133" s="13"/>
      <c r="E133" s="13"/>
      <c r="F133" s="13"/>
      <c r="G133" s="13"/>
      <c r="H133" s="10"/>
    </row>
    <row r="134" spans="1:8">
      <c r="A134" s="10"/>
      <c r="B134" s="13"/>
      <c r="C134" s="13"/>
      <c r="D134" s="13"/>
      <c r="E134" s="13"/>
      <c r="F134" s="13"/>
      <c r="G134" s="13"/>
      <c r="H134" s="10"/>
    </row>
    <row r="135" spans="1:8">
      <c r="A135" s="10"/>
      <c r="B135" s="13"/>
      <c r="C135" s="13"/>
      <c r="D135" s="13"/>
      <c r="E135" s="13"/>
      <c r="F135" s="13"/>
      <c r="G135" s="13"/>
      <c r="H135" s="10"/>
    </row>
    <row r="136" spans="1:8">
      <c r="A136" s="10"/>
      <c r="B136" s="13"/>
      <c r="C136" s="13"/>
      <c r="D136" s="13"/>
      <c r="E136" s="13"/>
      <c r="F136" s="13"/>
      <c r="G136" s="13"/>
      <c r="H136" s="10"/>
    </row>
    <row r="137" spans="1:8">
      <c r="A137" s="10"/>
      <c r="B137" s="13"/>
      <c r="C137" s="13"/>
      <c r="D137" s="13"/>
      <c r="E137" s="13"/>
      <c r="F137" s="13"/>
      <c r="G137" s="13"/>
      <c r="H137" s="10"/>
    </row>
    <row r="138" spans="1:8">
      <c r="A138" s="10"/>
      <c r="B138" s="13"/>
      <c r="C138" s="13"/>
      <c r="D138" s="13"/>
      <c r="E138" s="13"/>
      <c r="F138" s="13"/>
      <c r="G138" s="13"/>
      <c r="H138" s="10"/>
    </row>
    <row r="139" spans="1:8">
      <c r="A139" s="10"/>
      <c r="B139" s="13"/>
      <c r="C139" s="13"/>
      <c r="D139" s="13"/>
      <c r="E139" s="13"/>
      <c r="F139" s="13"/>
      <c r="G139" s="13"/>
      <c r="H139" s="10"/>
    </row>
    <row r="140" spans="1:8">
      <c r="A140" s="10"/>
      <c r="B140" s="13"/>
      <c r="C140" s="13"/>
      <c r="D140" s="13"/>
      <c r="E140" s="13"/>
      <c r="F140" s="13"/>
      <c r="G140" s="13"/>
      <c r="H140" s="10"/>
    </row>
    <row r="141" spans="1:8">
      <c r="A141" s="10"/>
      <c r="B141" s="13"/>
      <c r="C141" s="13"/>
      <c r="D141" s="13"/>
      <c r="E141" s="13"/>
      <c r="F141" s="13"/>
      <c r="G141" s="13"/>
      <c r="H141" s="10"/>
    </row>
    <row r="142" spans="1:8">
      <c r="A142" s="10"/>
      <c r="B142" s="13"/>
      <c r="C142" s="13"/>
      <c r="D142" s="13"/>
      <c r="E142" s="13"/>
      <c r="F142" s="13"/>
      <c r="G142" s="13"/>
      <c r="H142" s="10"/>
    </row>
    <row r="143" spans="1:8">
      <c r="A143" s="10"/>
      <c r="B143" s="13"/>
      <c r="C143" s="13"/>
      <c r="D143" s="13"/>
      <c r="E143" s="13"/>
      <c r="F143" s="13"/>
      <c r="G143" s="13"/>
      <c r="H143" s="10"/>
    </row>
    <row r="144" spans="1:8">
      <c r="A144" s="10"/>
      <c r="B144" s="13"/>
      <c r="C144" s="13"/>
      <c r="D144" s="13"/>
      <c r="E144" s="13"/>
      <c r="F144" s="13"/>
      <c r="G144" s="13"/>
      <c r="H144" s="10"/>
    </row>
    <row r="145" spans="1:8">
      <c r="A145" s="10"/>
      <c r="B145" s="13"/>
      <c r="C145" s="13"/>
      <c r="D145" s="13"/>
      <c r="E145" s="13"/>
      <c r="F145" s="13"/>
      <c r="G145" s="13"/>
      <c r="H145" s="10"/>
    </row>
    <row r="146" spans="1:8">
      <c r="A146" s="10"/>
      <c r="B146" s="13"/>
      <c r="C146" s="13"/>
      <c r="D146" s="13"/>
      <c r="E146" s="13"/>
      <c r="F146" s="15"/>
      <c r="G146" s="13"/>
      <c r="H146" s="10"/>
    </row>
    <row r="147" spans="1:8">
      <c r="A147" s="10"/>
      <c r="B147" s="13"/>
      <c r="C147" s="13"/>
      <c r="D147" s="13"/>
      <c r="E147" s="13"/>
      <c r="F147" s="13"/>
      <c r="G147" s="13"/>
      <c r="H147" s="10"/>
    </row>
    <row r="148" spans="1:8">
      <c r="A148" s="10"/>
      <c r="B148" s="13"/>
      <c r="C148" s="13"/>
      <c r="D148" s="13"/>
      <c r="E148" s="13"/>
      <c r="F148" s="13"/>
      <c r="G148" s="13"/>
      <c r="H148" s="10"/>
    </row>
    <row r="149" spans="1:8">
      <c r="A149" s="10"/>
      <c r="B149" s="13"/>
      <c r="C149" s="13"/>
      <c r="D149" s="13"/>
      <c r="E149" s="13"/>
      <c r="F149" s="13"/>
      <c r="G149" s="13"/>
      <c r="H149" s="10"/>
    </row>
    <row r="150" spans="1:8">
      <c r="A150" s="10"/>
      <c r="B150" s="13"/>
      <c r="C150" s="13"/>
      <c r="D150" s="13"/>
      <c r="E150" s="13"/>
      <c r="F150" s="13"/>
      <c r="G150" s="13"/>
      <c r="H150" s="10"/>
    </row>
    <row r="151" spans="1:8">
      <c r="A151" s="10"/>
      <c r="B151" s="13"/>
      <c r="C151" s="13"/>
      <c r="D151" s="13"/>
      <c r="E151" s="13"/>
      <c r="F151" s="13"/>
      <c r="G151" s="13"/>
      <c r="H151" s="10"/>
    </row>
    <row r="152" spans="1:8">
      <c r="A152" s="10"/>
      <c r="B152" s="13"/>
      <c r="C152" s="13"/>
      <c r="D152" s="13"/>
      <c r="E152" s="13"/>
      <c r="F152" s="13"/>
      <c r="G152" s="13"/>
      <c r="H152" s="10"/>
    </row>
    <row r="153" spans="1:8">
      <c r="A153" s="10"/>
      <c r="B153" s="13"/>
      <c r="C153" s="13"/>
      <c r="D153" s="13"/>
      <c r="E153" s="13"/>
      <c r="F153" s="13"/>
      <c r="G153" s="13"/>
      <c r="H153" s="10"/>
    </row>
  </sheetData>
  <phoneticPr fontId="2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成本模型（模拟数据）"/>
  <dimension ref="A1:AE52"/>
  <sheetViews>
    <sheetView tabSelected="1" workbookViewId="0">
      <pane ySplit="1" topLeftCell="A5" activePane="bottomLeft" state="frozen"/>
      <selection pane="bottomLeft" activeCell="B2" sqref="B2:B11"/>
    </sheetView>
  </sheetViews>
  <sheetFormatPr defaultColWidth="13.7109375" defaultRowHeight="18" customHeight="1"/>
  <cols>
    <col min="1" max="1" width="24.7109375" customWidth="1"/>
    <col min="2" max="2" width="16.28515625" customWidth="1"/>
    <col min="3" max="3" width="37.7109375" customWidth="1"/>
    <col min="4" max="4" width="42.28515625" customWidth="1"/>
    <col min="5" max="5" width="21.28515625" customWidth="1"/>
    <col min="6" max="6" width="23" customWidth="1"/>
    <col min="7" max="7" width="22.28515625" customWidth="1"/>
    <col min="8" max="8" width="42.28515625" customWidth="1"/>
    <col min="9" max="9" width="27" style="131" customWidth="1"/>
    <col min="10" max="10" width="22.28515625" customWidth="1"/>
    <col min="11" max="11" width="20.140625" customWidth="1"/>
    <col min="12" max="12" width="18.5703125" customWidth="1"/>
    <col min="13" max="13" width="15.85546875" customWidth="1"/>
    <col min="14" max="14" width="25.140625" customWidth="1"/>
    <col min="15" max="15" width="21.140625" style="135" customWidth="1"/>
    <col min="16" max="16" width="26.140625" customWidth="1"/>
    <col min="17" max="17" width="21.28515625" customWidth="1"/>
    <col min="18" max="18" width="22.42578125" customWidth="1"/>
    <col min="19" max="19" width="18.42578125" customWidth="1"/>
  </cols>
  <sheetData>
    <row r="1" spans="1:19" ht="14.25">
      <c r="A1" s="90" t="s">
        <v>168</v>
      </c>
      <c r="B1" s="90" t="s">
        <v>169</v>
      </c>
      <c r="C1" s="90" t="s">
        <v>170</v>
      </c>
      <c r="D1" s="90" t="s">
        <v>247</v>
      </c>
      <c r="E1" s="90" t="s">
        <v>442</v>
      </c>
      <c r="F1" s="91" t="s">
        <v>172</v>
      </c>
      <c r="G1" s="90" t="s">
        <v>173</v>
      </c>
      <c r="H1" s="90" t="s">
        <v>246</v>
      </c>
      <c r="I1" s="92" t="s">
        <v>175</v>
      </c>
      <c r="J1" s="90" t="s">
        <v>35</v>
      </c>
      <c r="K1" s="90" t="s">
        <v>176</v>
      </c>
      <c r="L1" s="93" t="s">
        <v>177</v>
      </c>
      <c r="M1" s="90" t="s">
        <v>36</v>
      </c>
      <c r="N1" s="90" t="s">
        <v>179</v>
      </c>
      <c r="O1" s="94" t="s">
        <v>180</v>
      </c>
      <c r="P1" s="90" t="s">
        <v>443</v>
      </c>
      <c r="Q1" s="90" t="s">
        <v>444</v>
      </c>
      <c r="R1" s="95" t="s">
        <v>445</v>
      </c>
      <c r="S1" s="95" t="s">
        <v>446</v>
      </c>
    </row>
    <row r="2" spans="1:19" ht="14.25">
      <c r="A2" s="4" t="s">
        <v>186</v>
      </c>
      <c r="B2" s="141" t="s">
        <v>187</v>
      </c>
      <c r="C2" s="4" t="s">
        <v>9</v>
      </c>
      <c r="D2" s="61" t="s">
        <v>252</v>
      </c>
      <c r="E2" s="4"/>
      <c r="F2" s="3" t="s">
        <v>189</v>
      </c>
      <c r="G2" s="37" t="s">
        <v>190</v>
      </c>
      <c r="H2" s="10"/>
      <c r="I2" s="96">
        <v>49000</v>
      </c>
      <c r="J2" s="4">
        <v>60</v>
      </c>
      <c r="K2" s="4">
        <f t="shared" ref="K2:K26" si="0">I2/J2</f>
        <v>816.66666666666663</v>
      </c>
      <c r="L2" s="4">
        <v>1510</v>
      </c>
      <c r="M2" s="4" t="s">
        <v>212</v>
      </c>
      <c r="N2" s="4">
        <f t="shared" ref="N2:N26" si="1">K2*L2</f>
        <v>1233166.6666666665</v>
      </c>
      <c r="O2" s="97">
        <f>N2/SUM(N2:N19)</f>
        <v>0.28761338935527897</v>
      </c>
      <c r="P2" s="98">
        <f>N2+SUM(N20:N42)*O2</f>
        <v>1720279.5430274119</v>
      </c>
      <c r="Q2" s="37">
        <v>48320</v>
      </c>
      <c r="R2" s="10">
        <v>519840</v>
      </c>
      <c r="S2" s="10">
        <v>16610</v>
      </c>
    </row>
    <row r="3" spans="1:19" ht="14.25">
      <c r="A3" s="4" t="s">
        <v>186</v>
      </c>
      <c r="B3" s="142"/>
      <c r="C3" s="4" t="s">
        <v>12</v>
      </c>
      <c r="D3" s="61" t="s">
        <v>256</v>
      </c>
      <c r="E3" s="4"/>
      <c r="F3" s="3" t="s">
        <v>189</v>
      </c>
      <c r="G3" s="37" t="s">
        <v>190</v>
      </c>
      <c r="H3" s="10"/>
      <c r="I3" s="96">
        <v>48000</v>
      </c>
      <c r="J3" s="4">
        <v>60</v>
      </c>
      <c r="K3" s="96">
        <f t="shared" si="0"/>
        <v>800</v>
      </c>
      <c r="L3" s="4">
        <v>40</v>
      </c>
      <c r="M3" s="4" t="s">
        <v>212</v>
      </c>
      <c r="N3" s="96">
        <f t="shared" si="1"/>
        <v>32000</v>
      </c>
      <c r="O3" s="97">
        <f>N3/SUM(N2:N19)</f>
        <v>7.4634100224643283E-3</v>
      </c>
      <c r="P3" s="98">
        <f>N3+SUM(N20:N42)*O3</f>
        <v>44640.312509969335</v>
      </c>
      <c r="Q3" s="37">
        <v>1280</v>
      </c>
      <c r="R3" s="10">
        <v>20480</v>
      </c>
      <c r="S3" s="10">
        <v>960</v>
      </c>
    </row>
    <row r="4" spans="1:19" ht="14.25">
      <c r="A4" s="4" t="s">
        <v>186</v>
      </c>
      <c r="B4" s="142"/>
      <c r="C4" s="4" t="s">
        <v>18</v>
      </c>
      <c r="D4" s="99" t="s">
        <v>447</v>
      </c>
      <c r="E4" s="4"/>
      <c r="F4" s="3" t="s">
        <v>189</v>
      </c>
      <c r="G4" s="37" t="s">
        <v>190</v>
      </c>
      <c r="H4" s="10"/>
      <c r="I4" s="96">
        <v>105000</v>
      </c>
      <c r="J4" s="4">
        <v>60</v>
      </c>
      <c r="K4" s="96">
        <f t="shared" si="0"/>
        <v>1750</v>
      </c>
      <c r="L4" s="4">
        <v>40</v>
      </c>
      <c r="M4" s="4" t="s">
        <v>212</v>
      </c>
      <c r="N4" s="96">
        <f t="shared" si="1"/>
        <v>70000</v>
      </c>
      <c r="O4" s="97">
        <f>N4/SUM(N2:N19)</f>
        <v>1.632620942414072E-2</v>
      </c>
      <c r="P4" s="98">
        <f>N4+SUM(N20:N42)*O4</f>
        <v>97650.683615557922</v>
      </c>
      <c r="Q4" s="37">
        <v>1280</v>
      </c>
      <c r="R4" s="10">
        <v>20480</v>
      </c>
      <c r="S4" s="10">
        <v>440</v>
      </c>
    </row>
    <row r="5" spans="1:19" ht="14.25">
      <c r="A5" s="4" t="s">
        <v>186</v>
      </c>
      <c r="B5" s="142"/>
      <c r="C5" s="4" t="s">
        <v>57</v>
      </c>
      <c r="D5" s="100" t="s">
        <v>448</v>
      </c>
      <c r="E5" s="4"/>
      <c r="F5" s="3" t="s">
        <v>189</v>
      </c>
      <c r="G5" s="37" t="s">
        <v>190</v>
      </c>
      <c r="H5" s="10"/>
      <c r="I5" s="96">
        <v>265600</v>
      </c>
      <c r="J5" s="4">
        <v>60</v>
      </c>
      <c r="K5" s="96">
        <f t="shared" si="0"/>
        <v>4426.666666666667</v>
      </c>
      <c r="L5" s="4">
        <v>200</v>
      </c>
      <c r="M5" s="4" t="s">
        <v>212</v>
      </c>
      <c r="N5" s="96">
        <f t="shared" si="1"/>
        <v>885333.33333333337</v>
      </c>
      <c r="O5" s="97">
        <f>N5/SUM(N2:N19)</f>
        <v>0.20648767728817977</v>
      </c>
      <c r="P5" s="98">
        <f>N5+SUM(N20:N42)*O5</f>
        <v>1235048.6461091517</v>
      </c>
      <c r="Q5" s="37">
        <v>6400</v>
      </c>
      <c r="R5" s="10">
        <v>51200</v>
      </c>
      <c r="S5" s="10">
        <v>760</v>
      </c>
    </row>
    <row r="6" spans="1:19" ht="14.25">
      <c r="A6" s="4" t="s">
        <v>186</v>
      </c>
      <c r="B6" s="142"/>
      <c r="C6" s="4" t="s">
        <v>59</v>
      </c>
      <c r="D6" s="61" t="s">
        <v>265</v>
      </c>
      <c r="E6" s="4"/>
      <c r="F6" s="3" t="s">
        <v>189</v>
      </c>
      <c r="G6" s="37" t="s">
        <v>190</v>
      </c>
      <c r="H6" s="10"/>
      <c r="I6" s="96">
        <v>128281</v>
      </c>
      <c r="J6" s="4">
        <v>60</v>
      </c>
      <c r="K6" s="96">
        <f t="shared" si="0"/>
        <v>2138.0166666666669</v>
      </c>
      <c r="L6" s="4">
        <v>100</v>
      </c>
      <c r="M6" s="4" t="s">
        <v>212</v>
      </c>
      <c r="N6" s="96">
        <f t="shared" si="1"/>
        <v>213801.66666666669</v>
      </c>
      <c r="O6" s="97">
        <f>N6/SUM(N2:N19)</f>
        <v>4.9865296931861806E-2</v>
      </c>
      <c r="P6" s="98">
        <f>N6+SUM(N20:N42)*O6</f>
        <v>298255.41297350923</v>
      </c>
      <c r="Q6" s="37">
        <v>4800</v>
      </c>
      <c r="R6" s="10">
        <v>25600</v>
      </c>
      <c r="S6" s="10">
        <v>1500</v>
      </c>
    </row>
    <row r="7" spans="1:19" ht="14.25">
      <c r="A7" s="4" t="s">
        <v>186</v>
      </c>
      <c r="B7" s="142"/>
      <c r="C7" s="4" t="s">
        <v>61</v>
      </c>
      <c r="D7" s="61" t="s">
        <v>268</v>
      </c>
      <c r="E7" s="4"/>
      <c r="F7" s="3" t="s">
        <v>189</v>
      </c>
      <c r="G7" s="37" t="s">
        <v>190</v>
      </c>
      <c r="H7" s="10"/>
      <c r="I7" s="96">
        <v>143430</v>
      </c>
      <c r="J7" s="4">
        <v>60</v>
      </c>
      <c r="K7" s="96">
        <f t="shared" si="0"/>
        <v>2390.5</v>
      </c>
      <c r="L7" s="4">
        <v>30</v>
      </c>
      <c r="M7" s="4" t="s">
        <v>212</v>
      </c>
      <c r="N7" s="96">
        <f t="shared" si="1"/>
        <v>71715</v>
      </c>
      <c r="O7" s="97">
        <f>N7/SUM(N2:N19)</f>
        <v>1.6726201555032166E-2</v>
      </c>
      <c r="P7" s="98">
        <f>N7+SUM(N20:N42)*O7</f>
        <v>100043.12536413909</v>
      </c>
      <c r="Q7" s="37">
        <v>90</v>
      </c>
      <c r="R7" s="10">
        <v>11520</v>
      </c>
      <c r="S7" s="10">
        <v>240</v>
      </c>
    </row>
    <row r="8" spans="1:19" ht="14.25">
      <c r="A8" s="4" t="s">
        <v>186</v>
      </c>
      <c r="B8" s="142"/>
      <c r="C8" s="4" t="s">
        <v>14</v>
      </c>
      <c r="D8" s="61" t="s">
        <v>271</v>
      </c>
      <c r="E8" s="4"/>
      <c r="F8" s="3" t="s">
        <v>189</v>
      </c>
      <c r="G8" s="37" t="s">
        <v>190</v>
      </c>
      <c r="H8" s="10"/>
      <c r="I8" s="96">
        <v>104400</v>
      </c>
      <c r="J8" s="4">
        <v>60</v>
      </c>
      <c r="K8" s="96">
        <f t="shared" si="0"/>
        <v>1740</v>
      </c>
      <c r="L8" s="4">
        <v>50</v>
      </c>
      <c r="M8" s="4" t="s">
        <v>212</v>
      </c>
      <c r="N8" s="96">
        <f t="shared" si="1"/>
        <v>87000</v>
      </c>
      <c r="O8" s="97">
        <f>N8/SUM(N2:N19)</f>
        <v>2.0291145998574893E-2</v>
      </c>
      <c r="P8" s="98">
        <f>N8+SUM(N20:N42)*O8</f>
        <v>121365.84963647914</v>
      </c>
      <c r="Q8" s="37">
        <v>1600</v>
      </c>
      <c r="R8" s="10">
        <v>12800</v>
      </c>
      <c r="S8" s="10">
        <v>2400</v>
      </c>
    </row>
    <row r="9" spans="1:19" ht="14.25">
      <c r="A9" s="4" t="s">
        <v>186</v>
      </c>
      <c r="B9" s="142"/>
      <c r="C9" s="4" t="s">
        <v>15</v>
      </c>
      <c r="D9" s="61" t="s">
        <v>274</v>
      </c>
      <c r="E9" s="4"/>
      <c r="F9" s="3" t="s">
        <v>189</v>
      </c>
      <c r="G9" s="37" t="s">
        <v>190</v>
      </c>
      <c r="H9" s="10"/>
      <c r="I9" s="96">
        <v>40000</v>
      </c>
      <c r="J9" s="4">
        <v>60</v>
      </c>
      <c r="K9" s="96">
        <f t="shared" si="0"/>
        <v>666.66666666666663</v>
      </c>
      <c r="L9" s="4">
        <v>26</v>
      </c>
      <c r="M9" s="4" t="s">
        <v>212</v>
      </c>
      <c r="N9" s="96">
        <f t="shared" si="1"/>
        <v>17333.333333333332</v>
      </c>
      <c r="O9" s="97">
        <f>N9/SUM(N2:N19)</f>
        <v>4.0426804288348443E-3</v>
      </c>
      <c r="P9" s="98">
        <f>N9+SUM(N20:N42)*O9</f>
        <v>24180.169276233388</v>
      </c>
      <c r="Q9" s="37">
        <v>832</v>
      </c>
      <c r="R9" s="10">
        <v>6656</v>
      </c>
      <c r="S9" s="10">
        <v>1872</v>
      </c>
    </row>
    <row r="10" spans="1:19" ht="14.25">
      <c r="A10" s="4" t="s">
        <v>186</v>
      </c>
      <c r="B10" s="142"/>
      <c r="C10" s="4" t="s">
        <v>16</v>
      </c>
      <c r="D10" s="61" t="s">
        <v>277</v>
      </c>
      <c r="E10" s="4"/>
      <c r="F10" s="3" t="s">
        <v>189</v>
      </c>
      <c r="G10" s="37" t="s">
        <v>190</v>
      </c>
      <c r="H10" s="10"/>
      <c r="I10" s="96">
        <v>61949</v>
      </c>
      <c r="J10" s="4">
        <v>60</v>
      </c>
      <c r="K10" s="96">
        <f t="shared" si="0"/>
        <v>1032.4833333333333</v>
      </c>
      <c r="L10" s="4">
        <v>33</v>
      </c>
      <c r="M10" s="4" t="s">
        <v>212</v>
      </c>
      <c r="N10" s="96">
        <f t="shared" si="1"/>
        <v>34071.949999999997</v>
      </c>
      <c r="O10" s="97">
        <f>N10/SUM(N2:N19)</f>
        <v>7.9466541598407336E-3</v>
      </c>
      <c r="P10" s="98">
        <f>N10+SUM(N20:N42)*O10</f>
        <v>47530.702994501553</v>
      </c>
      <c r="Q10" s="37">
        <v>1056</v>
      </c>
      <c r="R10" s="10">
        <v>8448</v>
      </c>
      <c r="S10" s="10">
        <v>1122</v>
      </c>
    </row>
    <row r="11" spans="1:19" ht="14.25">
      <c r="A11" s="4" t="s">
        <v>186</v>
      </c>
      <c r="B11" s="143"/>
      <c r="C11" s="4" t="s">
        <v>17</v>
      </c>
      <c r="D11" s="61" t="s">
        <v>280</v>
      </c>
      <c r="E11" s="4"/>
      <c r="F11" s="3" t="s">
        <v>189</v>
      </c>
      <c r="G11" s="37" t="s">
        <v>190</v>
      </c>
      <c r="H11" s="10"/>
      <c r="I11" s="96">
        <v>85000</v>
      </c>
      <c r="J11" s="4">
        <v>60</v>
      </c>
      <c r="K11" s="96">
        <f t="shared" si="0"/>
        <v>1416.6666666666667</v>
      </c>
      <c r="L11" s="4">
        <v>7</v>
      </c>
      <c r="M11" s="4" t="s">
        <v>212</v>
      </c>
      <c r="N11" s="96">
        <f t="shared" si="1"/>
        <v>9916.6666666666679</v>
      </c>
      <c r="O11" s="97">
        <f>N11/SUM(N2:N19)</f>
        <v>2.3128796684199356E-3</v>
      </c>
      <c r="P11" s="98">
        <f>N11+SUM(N20:N42)*O11</f>
        <v>13833.846845537373</v>
      </c>
      <c r="Q11" s="37">
        <v>448</v>
      </c>
      <c r="R11" s="10">
        <v>5376</v>
      </c>
      <c r="S11" s="10">
        <v>526.4</v>
      </c>
    </row>
    <row r="12" spans="1:19" ht="14.25">
      <c r="A12" s="4" t="s">
        <v>186</v>
      </c>
      <c r="B12" s="139" t="s">
        <v>193</v>
      </c>
      <c r="C12" s="4" t="s">
        <v>63</v>
      </c>
      <c r="D12" s="61" t="s">
        <v>283</v>
      </c>
      <c r="E12" s="4"/>
      <c r="F12" s="3" t="s">
        <v>189</v>
      </c>
      <c r="G12" s="37" t="s">
        <v>190</v>
      </c>
      <c r="H12" s="10"/>
      <c r="I12" s="96">
        <v>1460800</v>
      </c>
      <c r="J12" s="4">
        <v>60</v>
      </c>
      <c r="K12" s="96">
        <f t="shared" si="0"/>
        <v>24346.666666666668</v>
      </c>
      <c r="L12" s="4">
        <v>22</v>
      </c>
      <c r="M12" s="4" t="s">
        <v>212</v>
      </c>
      <c r="N12" s="96">
        <f t="shared" si="1"/>
        <v>535626.66666666674</v>
      </c>
      <c r="O12" s="97">
        <f>N12/SUM(N2:N19)</f>
        <v>0.12492504475934878</v>
      </c>
      <c r="P12" s="98">
        <f>N12+SUM(N20:N42)*O12</f>
        <v>747204.43089603679</v>
      </c>
      <c r="Q12" s="37">
        <v>352</v>
      </c>
      <c r="R12" s="10">
        <v>5632</v>
      </c>
      <c r="S12" s="10">
        <v>176</v>
      </c>
    </row>
    <row r="13" spans="1:19" ht="14.25">
      <c r="A13" s="4" t="s">
        <v>186</v>
      </c>
      <c r="B13" s="140"/>
      <c r="C13" s="4" t="s">
        <v>66</v>
      </c>
      <c r="D13" s="61" t="s">
        <v>286</v>
      </c>
      <c r="E13" s="4"/>
      <c r="F13" s="3" t="s">
        <v>189</v>
      </c>
      <c r="G13" s="37" t="s">
        <v>190</v>
      </c>
      <c r="H13" s="10"/>
      <c r="I13" s="96">
        <v>2928000</v>
      </c>
      <c r="J13" s="4">
        <v>60</v>
      </c>
      <c r="K13" s="96">
        <f t="shared" si="0"/>
        <v>48800</v>
      </c>
      <c r="L13" s="4">
        <v>8</v>
      </c>
      <c r="M13" s="4" t="s">
        <v>212</v>
      </c>
      <c r="N13" s="96">
        <f t="shared" si="1"/>
        <v>390400</v>
      </c>
      <c r="O13" s="97">
        <f>N13/SUM(N2:N19)</f>
        <v>9.105360227406481E-2</v>
      </c>
      <c r="P13" s="98">
        <f>N13+SUM(N20:N42)*O13</f>
        <v>544611.81262162584</v>
      </c>
      <c r="Q13" s="37">
        <v>256</v>
      </c>
      <c r="R13" s="10">
        <v>2048</v>
      </c>
      <c r="S13" s="10">
        <v>30.4</v>
      </c>
    </row>
    <row r="14" spans="1:19" ht="14.25">
      <c r="A14" s="4" t="s">
        <v>186</v>
      </c>
      <c r="B14" s="140"/>
      <c r="C14" s="4" t="s">
        <v>68</v>
      </c>
      <c r="D14" s="61" t="s">
        <v>288</v>
      </c>
      <c r="E14" s="4"/>
      <c r="F14" s="3" t="s">
        <v>189</v>
      </c>
      <c r="G14" s="37" t="s">
        <v>190</v>
      </c>
      <c r="H14" s="10"/>
      <c r="I14" s="96">
        <v>2959000</v>
      </c>
      <c r="J14" s="4">
        <v>60</v>
      </c>
      <c r="K14" s="96">
        <f t="shared" si="0"/>
        <v>49316.666666666664</v>
      </c>
      <c r="L14" s="4">
        <v>13</v>
      </c>
      <c r="M14" s="4" t="s">
        <v>212</v>
      </c>
      <c r="N14" s="96">
        <f t="shared" si="1"/>
        <v>641116.66666666663</v>
      </c>
      <c r="O14" s="97">
        <f>N14/SUM(N2:N19)</f>
        <v>0.1495286423615288</v>
      </c>
      <c r="P14" s="98">
        <f>N14+SUM(N20:N42)*O14</f>
        <v>894364.01110468246</v>
      </c>
      <c r="Q14" s="37">
        <v>416</v>
      </c>
      <c r="R14" s="10">
        <v>6656</v>
      </c>
      <c r="S14" s="10">
        <v>299</v>
      </c>
    </row>
    <row r="15" spans="1:19" ht="14.25">
      <c r="A15" s="4" t="s">
        <v>186</v>
      </c>
      <c r="B15" s="140"/>
      <c r="C15" s="4" t="s">
        <v>70</v>
      </c>
      <c r="D15" s="61" t="s">
        <v>291</v>
      </c>
      <c r="E15" s="4"/>
      <c r="F15" s="3" t="s">
        <v>189</v>
      </c>
      <c r="G15" s="37" t="s">
        <v>190</v>
      </c>
      <c r="H15" s="10"/>
      <c r="I15" s="96">
        <v>36628</v>
      </c>
      <c r="J15" s="4">
        <v>60</v>
      </c>
      <c r="K15" s="96">
        <f t="shared" si="0"/>
        <v>610.4666666666667</v>
      </c>
      <c r="L15" s="4">
        <v>2</v>
      </c>
      <c r="M15" s="4" t="s">
        <v>212</v>
      </c>
      <c r="N15" s="96">
        <f t="shared" si="1"/>
        <v>1220.9333333333334</v>
      </c>
      <c r="O15" s="97">
        <f>N15/SUM(N2:N19)</f>
        <v>2.8476018989877444E-4</v>
      </c>
      <c r="P15" s="98">
        <f>N15+SUM(N20:N42)*O15</f>
        <v>1703.213923557455</v>
      </c>
      <c r="Q15" s="37">
        <v>64</v>
      </c>
      <c r="R15" s="10">
        <v>1536</v>
      </c>
      <c r="S15" s="10">
        <v>46</v>
      </c>
    </row>
    <row r="16" spans="1:19" ht="14.25">
      <c r="A16" s="4" t="s">
        <v>186</v>
      </c>
      <c r="B16" s="140"/>
      <c r="C16" s="4" t="s">
        <v>72</v>
      </c>
      <c r="D16" s="61" t="s">
        <v>294</v>
      </c>
      <c r="E16" s="4"/>
      <c r="F16" s="3" t="s">
        <v>189</v>
      </c>
      <c r="G16" s="37" t="s">
        <v>190</v>
      </c>
      <c r="H16" s="10"/>
      <c r="I16" s="96">
        <v>36120</v>
      </c>
      <c r="J16" s="4">
        <v>60</v>
      </c>
      <c r="K16" s="96">
        <f t="shared" si="0"/>
        <v>602</v>
      </c>
      <c r="L16" s="4">
        <v>10</v>
      </c>
      <c r="M16" s="4" t="s">
        <v>212</v>
      </c>
      <c r="N16" s="96">
        <f t="shared" si="1"/>
        <v>6020</v>
      </c>
      <c r="O16" s="97">
        <f>N16/SUM(N2:N19)</f>
        <v>1.4040540104761018E-3</v>
      </c>
      <c r="P16" s="98">
        <f>N16+SUM(N20:N42)*O16</f>
        <v>8397.9587909379807</v>
      </c>
      <c r="Q16" s="37">
        <v>640</v>
      </c>
      <c r="R16" s="10">
        <v>20480</v>
      </c>
      <c r="S16" s="10">
        <v>300</v>
      </c>
    </row>
    <row r="17" spans="1:19" ht="14.25">
      <c r="A17" s="4" t="s">
        <v>186</v>
      </c>
      <c r="B17" s="140"/>
      <c r="C17" s="4" t="s">
        <v>74</v>
      </c>
      <c r="D17" s="61" t="s">
        <v>297</v>
      </c>
      <c r="E17" s="4"/>
      <c r="F17" s="3" t="s">
        <v>189</v>
      </c>
      <c r="G17" s="37" t="s">
        <v>190</v>
      </c>
      <c r="H17" s="10"/>
      <c r="I17" s="96">
        <v>64111</v>
      </c>
      <c r="J17" s="4">
        <v>60</v>
      </c>
      <c r="K17" s="96">
        <f t="shared" si="0"/>
        <v>1068.5166666666667</v>
      </c>
      <c r="L17" s="4">
        <v>8</v>
      </c>
      <c r="M17" s="4" t="s">
        <v>212</v>
      </c>
      <c r="N17" s="96">
        <f t="shared" si="1"/>
        <v>8548.1333333333332</v>
      </c>
      <c r="O17" s="97">
        <f>N17/SUM(N2:N19)</f>
        <v>1.993694499792544E-3</v>
      </c>
      <c r="P17" s="98">
        <f>N17+SUM(N20:N42)*O17</f>
        <v>11924.729480527683</v>
      </c>
      <c r="Q17" s="37">
        <v>768</v>
      </c>
      <c r="R17" s="10">
        <v>16384</v>
      </c>
      <c r="S17" s="10">
        <v>240</v>
      </c>
    </row>
    <row r="18" spans="1:19" ht="14.25">
      <c r="A18" s="4" t="s">
        <v>186</v>
      </c>
      <c r="B18" s="140"/>
      <c r="C18" s="4" t="s">
        <v>76</v>
      </c>
      <c r="D18" s="61" t="s">
        <v>299</v>
      </c>
      <c r="E18" s="4"/>
      <c r="F18" s="3" t="s">
        <v>189</v>
      </c>
      <c r="G18" s="37" t="s">
        <v>190</v>
      </c>
      <c r="H18" s="10"/>
      <c r="I18" s="96">
        <v>81200</v>
      </c>
      <c r="J18" s="4">
        <v>60</v>
      </c>
      <c r="K18" s="96">
        <f t="shared" si="0"/>
        <v>1353.3333333333333</v>
      </c>
      <c r="L18" s="4">
        <v>9</v>
      </c>
      <c r="M18" s="4" t="s">
        <v>212</v>
      </c>
      <c r="N18" s="96">
        <f t="shared" si="1"/>
        <v>12180</v>
      </c>
      <c r="O18" s="97">
        <f>N18/SUM(N2:N19)</f>
        <v>2.840760439800485E-3</v>
      </c>
      <c r="P18" s="98">
        <f>N18+SUM(N20:N42)*O18</f>
        <v>16991.218949107079</v>
      </c>
      <c r="Q18" s="37">
        <v>882</v>
      </c>
      <c r="R18" s="10">
        <v>18432</v>
      </c>
      <c r="S18" s="10">
        <v>270</v>
      </c>
    </row>
    <row r="19" spans="1:19" ht="14.25">
      <c r="A19" s="4" t="s">
        <v>186</v>
      </c>
      <c r="B19" s="41" t="s">
        <v>94</v>
      </c>
      <c r="C19" s="4" t="s">
        <v>101</v>
      </c>
      <c r="D19" s="4" t="s">
        <v>449</v>
      </c>
      <c r="E19" s="4"/>
      <c r="F19" s="3" t="s">
        <v>189</v>
      </c>
      <c r="G19" s="37" t="s">
        <v>190</v>
      </c>
      <c r="H19" s="101"/>
      <c r="I19" s="96">
        <v>285999.99</v>
      </c>
      <c r="J19" s="4">
        <v>60</v>
      </c>
      <c r="K19" s="96">
        <f t="shared" si="0"/>
        <v>4766.6665000000003</v>
      </c>
      <c r="L19" s="4">
        <v>8</v>
      </c>
      <c r="M19" s="4" t="s">
        <v>212</v>
      </c>
      <c r="N19" s="96">
        <f t="shared" si="1"/>
        <v>38133.332000000002</v>
      </c>
      <c r="O19" s="97">
        <f>N19/SUM(N2:N19)</f>
        <v>8.8938966324612415E-3</v>
      </c>
      <c r="P19" s="98">
        <f>N19+SUM(N20:N42)*O19</f>
        <v>53196.370547700441</v>
      </c>
      <c r="Q19" s="102" t="s">
        <v>450</v>
      </c>
      <c r="R19" s="102" t="s">
        <v>450</v>
      </c>
      <c r="S19" s="10">
        <v>800</v>
      </c>
    </row>
    <row r="20" spans="1:19" ht="14.25">
      <c r="A20" s="4" t="s">
        <v>202</v>
      </c>
      <c r="B20" s="41" t="s">
        <v>94</v>
      </c>
      <c r="C20" s="4" t="s">
        <v>203</v>
      </c>
      <c r="D20" s="103" t="s">
        <v>450</v>
      </c>
      <c r="E20" s="4"/>
      <c r="F20" s="3" t="s">
        <v>189</v>
      </c>
      <c r="G20" s="4" t="s">
        <v>204</v>
      </c>
      <c r="H20" s="4"/>
      <c r="I20" s="96">
        <v>70000</v>
      </c>
      <c r="J20" s="4">
        <v>12</v>
      </c>
      <c r="K20" s="96">
        <f t="shared" si="0"/>
        <v>5833.333333333333</v>
      </c>
      <c r="L20" s="4">
        <v>1</v>
      </c>
      <c r="M20" s="4" t="s">
        <v>212</v>
      </c>
      <c r="N20" s="96">
        <f t="shared" si="1"/>
        <v>5833.333333333333</v>
      </c>
      <c r="O20" s="102" t="s">
        <v>450</v>
      </c>
      <c r="P20" s="102" t="s">
        <v>450</v>
      </c>
      <c r="Q20" s="103" t="s">
        <v>450</v>
      </c>
      <c r="R20" s="104" t="s">
        <v>450</v>
      </c>
      <c r="S20" s="104" t="s">
        <v>450</v>
      </c>
    </row>
    <row r="21" spans="1:19" ht="14.25">
      <c r="A21" s="4" t="s">
        <v>186</v>
      </c>
      <c r="B21" s="41" t="s">
        <v>102</v>
      </c>
      <c r="C21" s="4" t="s">
        <v>451</v>
      </c>
      <c r="D21" s="103" t="s">
        <v>450</v>
      </c>
      <c r="E21" s="4"/>
      <c r="F21" s="3" t="s">
        <v>189</v>
      </c>
      <c r="G21" s="4" t="s">
        <v>204</v>
      </c>
      <c r="H21" s="40"/>
      <c r="I21" s="96">
        <v>250000</v>
      </c>
      <c r="J21" s="4">
        <v>60</v>
      </c>
      <c r="K21" s="96">
        <f t="shared" si="0"/>
        <v>4166.666666666667</v>
      </c>
      <c r="L21" s="4">
        <v>14</v>
      </c>
      <c r="M21" s="4" t="s">
        <v>212</v>
      </c>
      <c r="N21" s="96">
        <f t="shared" si="1"/>
        <v>58333.333333333336</v>
      </c>
      <c r="O21" s="102" t="s">
        <v>450</v>
      </c>
      <c r="P21" s="102" t="s">
        <v>450</v>
      </c>
      <c r="Q21" s="103" t="s">
        <v>450</v>
      </c>
      <c r="R21" s="104" t="s">
        <v>450</v>
      </c>
      <c r="S21" s="104" t="s">
        <v>450</v>
      </c>
    </row>
    <row r="22" spans="1:19" ht="14.25">
      <c r="A22" s="4" t="s">
        <v>186</v>
      </c>
      <c r="B22" s="41" t="s">
        <v>102</v>
      </c>
      <c r="C22" s="4" t="s">
        <v>213</v>
      </c>
      <c r="D22" s="103" t="s">
        <v>450</v>
      </c>
      <c r="E22" s="4"/>
      <c r="F22" s="3" t="s">
        <v>189</v>
      </c>
      <c r="G22" s="4" t="s">
        <v>204</v>
      </c>
      <c r="H22" s="105"/>
      <c r="I22" s="96">
        <v>300000</v>
      </c>
      <c r="J22" s="4">
        <v>60</v>
      </c>
      <c r="K22" s="96">
        <f t="shared" si="0"/>
        <v>5000</v>
      </c>
      <c r="L22" s="4">
        <v>12</v>
      </c>
      <c r="M22" s="4" t="s">
        <v>212</v>
      </c>
      <c r="N22" s="96">
        <f t="shared" si="1"/>
        <v>60000</v>
      </c>
      <c r="O22" s="102" t="s">
        <v>450</v>
      </c>
      <c r="P22" s="102" t="s">
        <v>450</v>
      </c>
      <c r="Q22" s="103" t="s">
        <v>450</v>
      </c>
      <c r="R22" s="104" t="s">
        <v>450</v>
      </c>
      <c r="S22" s="104" t="s">
        <v>450</v>
      </c>
    </row>
    <row r="23" spans="1:19" ht="14.25">
      <c r="A23" s="4" t="s">
        <v>186</v>
      </c>
      <c r="B23" s="41" t="s">
        <v>102</v>
      </c>
      <c r="C23" s="4" t="s">
        <v>214</v>
      </c>
      <c r="D23" s="103" t="s">
        <v>450</v>
      </c>
      <c r="E23" s="4"/>
      <c r="F23" s="3" t="s">
        <v>189</v>
      </c>
      <c r="G23" s="4" t="s">
        <v>204</v>
      </c>
      <c r="H23" s="105"/>
      <c r="I23" s="96">
        <v>200000</v>
      </c>
      <c r="J23" s="4">
        <v>60</v>
      </c>
      <c r="K23" s="96">
        <f t="shared" si="0"/>
        <v>3333.3333333333335</v>
      </c>
      <c r="L23" s="4">
        <v>10</v>
      </c>
      <c r="M23" s="4" t="s">
        <v>212</v>
      </c>
      <c r="N23" s="96">
        <f t="shared" si="1"/>
        <v>33333.333333333336</v>
      </c>
      <c r="O23" s="102" t="s">
        <v>450</v>
      </c>
      <c r="P23" s="102" t="s">
        <v>450</v>
      </c>
      <c r="Q23" s="103" t="s">
        <v>450</v>
      </c>
      <c r="R23" s="104" t="s">
        <v>450</v>
      </c>
      <c r="S23" s="104" t="s">
        <v>450</v>
      </c>
    </row>
    <row r="24" spans="1:19" ht="14.25">
      <c r="A24" s="4" t="s">
        <v>186</v>
      </c>
      <c r="B24" s="41" t="s">
        <v>102</v>
      </c>
      <c r="C24" s="4" t="s">
        <v>215</v>
      </c>
      <c r="D24" s="103" t="s">
        <v>450</v>
      </c>
      <c r="E24" s="4"/>
      <c r="F24" s="3" t="s">
        <v>189</v>
      </c>
      <c r="G24" s="4" t="s">
        <v>204</v>
      </c>
      <c r="H24" s="106"/>
      <c r="I24" s="107">
        <v>50000</v>
      </c>
      <c r="J24" s="4">
        <v>60</v>
      </c>
      <c r="K24" s="96">
        <f t="shared" si="0"/>
        <v>833.33333333333337</v>
      </c>
      <c r="L24" s="4">
        <v>700</v>
      </c>
      <c r="M24" s="4" t="s">
        <v>212</v>
      </c>
      <c r="N24" s="96">
        <f t="shared" si="1"/>
        <v>583333.33333333337</v>
      </c>
      <c r="O24" s="102" t="s">
        <v>450</v>
      </c>
      <c r="P24" s="102" t="s">
        <v>450</v>
      </c>
      <c r="Q24" s="103" t="s">
        <v>450</v>
      </c>
      <c r="R24" s="104" t="s">
        <v>450</v>
      </c>
      <c r="S24" s="104" t="s">
        <v>450</v>
      </c>
    </row>
    <row r="25" spans="1:19" ht="14.25">
      <c r="A25" s="4" t="s">
        <v>186</v>
      </c>
      <c r="B25" s="41" t="s">
        <v>102</v>
      </c>
      <c r="C25" s="4" t="s">
        <v>216</v>
      </c>
      <c r="D25" s="103" t="s">
        <v>450</v>
      </c>
      <c r="E25" s="4"/>
      <c r="F25" s="3" t="s">
        <v>189</v>
      </c>
      <c r="G25" s="37" t="s">
        <v>204</v>
      </c>
      <c r="H25" s="108"/>
      <c r="I25" s="109">
        <v>300000</v>
      </c>
      <c r="J25" s="4">
        <v>60</v>
      </c>
      <c r="K25" s="96">
        <f t="shared" si="0"/>
        <v>5000</v>
      </c>
      <c r="L25" s="110">
        <v>14</v>
      </c>
      <c r="M25" s="4" t="s">
        <v>212</v>
      </c>
      <c r="N25" s="111">
        <f t="shared" si="1"/>
        <v>70000</v>
      </c>
      <c r="O25" s="102" t="s">
        <v>450</v>
      </c>
      <c r="P25" s="102" t="s">
        <v>450</v>
      </c>
      <c r="Q25" s="103" t="s">
        <v>450</v>
      </c>
      <c r="R25" s="104" t="s">
        <v>450</v>
      </c>
      <c r="S25" s="104" t="s">
        <v>450</v>
      </c>
    </row>
    <row r="26" spans="1:19" ht="14.25">
      <c r="A26" s="4" t="s">
        <v>202</v>
      </c>
      <c r="B26" s="41" t="s">
        <v>102</v>
      </c>
      <c r="C26" s="4" t="s">
        <v>452</v>
      </c>
      <c r="D26" s="103" t="s">
        <v>450</v>
      </c>
      <c r="E26" s="4"/>
      <c r="F26" s="3" t="s">
        <v>189</v>
      </c>
      <c r="G26" s="37" t="s">
        <v>204</v>
      </c>
      <c r="H26" s="108"/>
      <c r="I26" s="112">
        <v>512410</v>
      </c>
      <c r="J26" s="4">
        <v>12</v>
      </c>
      <c r="K26" s="96">
        <f t="shared" si="0"/>
        <v>42700.833333333336</v>
      </c>
      <c r="L26" s="4">
        <v>1</v>
      </c>
      <c r="M26" s="4" t="s">
        <v>23</v>
      </c>
      <c r="N26" s="96">
        <f t="shared" si="1"/>
        <v>42700.833333333336</v>
      </c>
      <c r="O26" s="102" t="s">
        <v>450</v>
      </c>
      <c r="P26" s="102" t="s">
        <v>450</v>
      </c>
      <c r="Q26" s="103" t="s">
        <v>450</v>
      </c>
      <c r="R26" s="104" t="s">
        <v>450</v>
      </c>
      <c r="S26" s="104" t="s">
        <v>450</v>
      </c>
    </row>
    <row r="27" spans="1:19" ht="14.25">
      <c r="A27" s="4" t="s">
        <v>186</v>
      </c>
      <c r="B27" s="41" t="s">
        <v>205</v>
      </c>
      <c r="C27" s="4" t="s">
        <v>453</v>
      </c>
      <c r="D27" s="103"/>
      <c r="E27" s="4"/>
      <c r="F27" s="3" t="s">
        <v>189</v>
      </c>
      <c r="G27" s="4" t="s">
        <v>204</v>
      </c>
      <c r="H27" s="113"/>
      <c r="I27" s="111"/>
      <c r="J27" s="4"/>
      <c r="K27" s="4"/>
      <c r="L27" s="4"/>
      <c r="M27" s="4"/>
      <c r="N27" s="4"/>
      <c r="O27" s="114"/>
      <c r="P27" s="115"/>
      <c r="Q27" s="116"/>
      <c r="R27" s="117"/>
      <c r="S27" s="117"/>
    </row>
    <row r="28" spans="1:19" ht="14.25">
      <c r="A28" s="4" t="s">
        <v>186</v>
      </c>
      <c r="B28" s="41" t="s">
        <v>205</v>
      </c>
      <c r="C28" s="4" t="s">
        <v>206</v>
      </c>
      <c r="D28" s="103"/>
      <c r="E28" s="4"/>
      <c r="F28" s="3" t="s">
        <v>189</v>
      </c>
      <c r="G28" s="4" t="s">
        <v>204</v>
      </c>
      <c r="H28" s="105"/>
      <c r="I28" s="96"/>
      <c r="J28" s="4"/>
      <c r="K28" s="4"/>
      <c r="L28" s="4"/>
      <c r="M28" s="4"/>
      <c r="N28" s="4"/>
      <c r="O28" s="114"/>
      <c r="P28" s="115"/>
      <c r="Q28" s="116"/>
      <c r="R28" s="117"/>
      <c r="S28" s="117"/>
    </row>
    <row r="29" spans="1:19" ht="14.25">
      <c r="A29" s="4" t="s">
        <v>186</v>
      </c>
      <c r="B29" s="41" t="s">
        <v>205</v>
      </c>
      <c r="C29" s="4" t="s">
        <v>207</v>
      </c>
      <c r="D29" s="103"/>
      <c r="E29" s="4"/>
      <c r="F29" s="3" t="s">
        <v>189</v>
      </c>
      <c r="G29" s="4" t="s">
        <v>204</v>
      </c>
      <c r="H29" s="118"/>
      <c r="I29" s="119"/>
      <c r="J29" s="4"/>
      <c r="K29" s="4"/>
      <c r="L29" s="4"/>
      <c r="M29" s="4"/>
      <c r="N29" s="4"/>
      <c r="O29" s="114"/>
      <c r="P29" s="115"/>
      <c r="Q29" s="116"/>
      <c r="R29" s="117"/>
      <c r="S29" s="117"/>
    </row>
    <row r="30" spans="1:19" ht="14.25">
      <c r="A30" s="4" t="s">
        <v>186</v>
      </c>
      <c r="B30" s="41" t="s">
        <v>205</v>
      </c>
      <c r="C30" s="4" t="s">
        <v>208</v>
      </c>
      <c r="D30" s="103"/>
      <c r="E30" s="4"/>
      <c r="F30" s="3" t="s">
        <v>189</v>
      </c>
      <c r="G30" s="4" t="s">
        <v>204</v>
      </c>
      <c r="H30" s="105"/>
      <c r="I30" s="96"/>
      <c r="J30" s="4"/>
      <c r="K30" s="4"/>
      <c r="L30" s="4"/>
      <c r="M30" s="110"/>
      <c r="N30" s="110"/>
      <c r="O30" s="114"/>
      <c r="P30" s="115"/>
      <c r="Q30" s="116"/>
      <c r="R30" s="117"/>
      <c r="S30" s="117"/>
    </row>
    <row r="31" spans="1:19" ht="14.25">
      <c r="A31" s="4" t="s">
        <v>186</v>
      </c>
      <c r="B31" s="41" t="s">
        <v>205</v>
      </c>
      <c r="C31" s="4" t="s">
        <v>210</v>
      </c>
      <c r="D31" s="103"/>
      <c r="E31" s="4"/>
      <c r="F31" s="3" t="s">
        <v>189</v>
      </c>
      <c r="G31" s="4" t="s">
        <v>204</v>
      </c>
      <c r="H31" s="105"/>
      <c r="I31" s="120"/>
      <c r="J31" s="4"/>
      <c r="K31" s="4"/>
      <c r="L31" s="4"/>
      <c r="M31" s="110"/>
      <c r="N31" s="110"/>
      <c r="O31" s="114"/>
      <c r="P31" s="115"/>
      <c r="Q31" s="116"/>
      <c r="R31" s="117"/>
      <c r="S31" s="117"/>
    </row>
    <row r="32" spans="1:19" ht="14.25">
      <c r="A32" s="4" t="s">
        <v>218</v>
      </c>
      <c r="B32" s="41" t="s">
        <v>219</v>
      </c>
      <c r="C32" s="4" t="s">
        <v>220</v>
      </c>
      <c r="D32" s="103" t="s">
        <v>450</v>
      </c>
      <c r="E32" s="4"/>
      <c r="F32" s="3" t="s">
        <v>189</v>
      </c>
      <c r="G32" s="37" t="s">
        <v>204</v>
      </c>
      <c r="H32" s="121"/>
      <c r="I32" s="109">
        <v>85000</v>
      </c>
      <c r="J32" s="4">
        <v>60</v>
      </c>
      <c r="K32" s="96">
        <f t="shared" ref="K32:K45" si="2">I32/J32</f>
        <v>1416.6666666666667</v>
      </c>
      <c r="L32" s="4">
        <v>1</v>
      </c>
      <c r="M32" s="4" t="s">
        <v>23</v>
      </c>
      <c r="N32" s="96">
        <f t="shared" ref="N32:N45" si="3">K32*L32</f>
        <v>1416.6666666666667</v>
      </c>
      <c r="O32" s="102" t="s">
        <v>450</v>
      </c>
      <c r="P32" s="102" t="s">
        <v>450</v>
      </c>
      <c r="Q32" s="103" t="s">
        <v>450</v>
      </c>
      <c r="R32" s="104" t="s">
        <v>450</v>
      </c>
      <c r="S32" s="104" t="s">
        <v>450</v>
      </c>
    </row>
    <row r="33" spans="1:19" ht="14.25">
      <c r="A33" s="4" t="s">
        <v>202</v>
      </c>
      <c r="B33" s="41" t="s">
        <v>219</v>
      </c>
      <c r="C33" s="4" t="s">
        <v>221</v>
      </c>
      <c r="D33" s="103" t="s">
        <v>450</v>
      </c>
      <c r="E33" s="4"/>
      <c r="F33" s="3" t="s">
        <v>189</v>
      </c>
      <c r="G33" s="4" t="s">
        <v>204</v>
      </c>
      <c r="H33" s="42"/>
      <c r="I33" s="119">
        <v>25000</v>
      </c>
      <c r="J33" s="4">
        <v>12</v>
      </c>
      <c r="K33" s="96">
        <f t="shared" si="2"/>
        <v>2083.3333333333335</v>
      </c>
      <c r="L33" s="4">
        <v>1</v>
      </c>
      <c r="M33" s="4" t="s">
        <v>23</v>
      </c>
      <c r="N33" s="96">
        <f t="shared" si="3"/>
        <v>2083.3333333333335</v>
      </c>
      <c r="O33" s="102" t="s">
        <v>450</v>
      </c>
      <c r="P33" s="102" t="s">
        <v>450</v>
      </c>
      <c r="Q33" s="103" t="s">
        <v>450</v>
      </c>
      <c r="R33" s="104" t="s">
        <v>450</v>
      </c>
      <c r="S33" s="104" t="s">
        <v>450</v>
      </c>
    </row>
    <row r="34" spans="1:19" ht="46.5" customHeight="1">
      <c r="A34" s="4" t="s">
        <v>222</v>
      </c>
      <c r="B34" s="41" t="s">
        <v>219</v>
      </c>
      <c r="C34" s="4" t="s">
        <v>219</v>
      </c>
      <c r="D34" s="103" t="s">
        <v>450</v>
      </c>
      <c r="E34" s="4"/>
      <c r="F34" s="3" t="s">
        <v>189</v>
      </c>
      <c r="G34" s="4" t="s">
        <v>204</v>
      </c>
      <c r="H34" s="19" t="s">
        <v>223</v>
      </c>
      <c r="I34" s="122">
        <v>30230000</v>
      </c>
      <c r="J34" s="4">
        <v>120</v>
      </c>
      <c r="K34" s="96">
        <f t="shared" si="2"/>
        <v>251916.66666666666</v>
      </c>
      <c r="L34" s="4">
        <v>1</v>
      </c>
      <c r="M34" s="123" t="s">
        <v>454</v>
      </c>
      <c r="N34" s="107">
        <f t="shared" si="3"/>
        <v>251916.66666666666</v>
      </c>
      <c r="O34" s="102" t="s">
        <v>450</v>
      </c>
      <c r="P34" s="102" t="s">
        <v>450</v>
      </c>
      <c r="Q34" s="103" t="s">
        <v>450</v>
      </c>
      <c r="R34" s="104" t="s">
        <v>450</v>
      </c>
      <c r="S34" s="104" t="s">
        <v>450</v>
      </c>
    </row>
    <row r="35" spans="1:19" ht="14.25">
      <c r="A35" s="4" t="s">
        <v>222</v>
      </c>
      <c r="B35" s="41" t="s">
        <v>219</v>
      </c>
      <c r="C35" s="4" t="s">
        <v>224</v>
      </c>
      <c r="D35" s="103" t="s">
        <v>450</v>
      </c>
      <c r="E35" s="4"/>
      <c r="F35" s="3" t="s">
        <v>189</v>
      </c>
      <c r="G35" s="4" t="s">
        <v>204</v>
      </c>
      <c r="H35" s="4"/>
      <c r="I35" s="96">
        <v>4.5</v>
      </c>
      <c r="J35" s="4">
        <v>240</v>
      </c>
      <c r="K35" s="96">
        <f t="shared" si="2"/>
        <v>1.8749999999999999E-2</v>
      </c>
      <c r="L35" s="124">
        <v>1560</v>
      </c>
      <c r="M35" s="121" t="s">
        <v>225</v>
      </c>
      <c r="N35" s="109">
        <f t="shared" si="3"/>
        <v>29.25</v>
      </c>
      <c r="O35" s="102" t="s">
        <v>450</v>
      </c>
      <c r="P35" s="102" t="s">
        <v>450</v>
      </c>
      <c r="Q35" s="103" t="s">
        <v>450</v>
      </c>
      <c r="R35" s="104" t="s">
        <v>450</v>
      </c>
      <c r="S35" s="104" t="s">
        <v>450</v>
      </c>
    </row>
    <row r="36" spans="1:19" ht="14.25">
      <c r="A36" s="4" t="s">
        <v>202</v>
      </c>
      <c r="B36" s="41" t="s">
        <v>219</v>
      </c>
      <c r="C36" s="4" t="s">
        <v>226</v>
      </c>
      <c r="D36" s="103" t="s">
        <v>450</v>
      </c>
      <c r="E36" s="4"/>
      <c r="F36" s="3" t="s">
        <v>189</v>
      </c>
      <c r="G36" s="4" t="s">
        <v>204</v>
      </c>
      <c r="H36" s="4"/>
      <c r="I36" s="125">
        <v>350000</v>
      </c>
      <c r="J36" s="4">
        <v>12</v>
      </c>
      <c r="K36" s="96">
        <f t="shared" si="2"/>
        <v>29166.666666666668</v>
      </c>
      <c r="L36" s="37">
        <v>1</v>
      </c>
      <c r="M36" s="121" t="s">
        <v>23</v>
      </c>
      <c r="N36" s="109">
        <f t="shared" si="3"/>
        <v>29166.666666666668</v>
      </c>
      <c r="O36" s="102" t="s">
        <v>450</v>
      </c>
      <c r="P36" s="102" t="s">
        <v>450</v>
      </c>
      <c r="Q36" s="103" t="s">
        <v>450</v>
      </c>
      <c r="R36" s="104" t="s">
        <v>450</v>
      </c>
      <c r="S36" s="104" t="s">
        <v>450</v>
      </c>
    </row>
    <row r="37" spans="1:19" ht="14.25">
      <c r="A37" s="4" t="s">
        <v>202</v>
      </c>
      <c r="B37" s="41" t="s">
        <v>219</v>
      </c>
      <c r="C37" s="4" t="s">
        <v>227</v>
      </c>
      <c r="D37" s="103" t="s">
        <v>450</v>
      </c>
      <c r="E37" s="4" t="s">
        <v>228</v>
      </c>
      <c r="F37" s="3" t="s">
        <v>189</v>
      </c>
      <c r="G37" s="4" t="s">
        <v>204</v>
      </c>
      <c r="H37" s="37"/>
      <c r="I37" s="126">
        <v>0.89</v>
      </c>
      <c r="J37" s="4">
        <v>1</v>
      </c>
      <c r="K37" s="96">
        <f t="shared" si="2"/>
        <v>0.89</v>
      </c>
      <c r="L37" s="13">
        <v>51252</v>
      </c>
      <c r="M37" s="121" t="s">
        <v>229</v>
      </c>
      <c r="N37" s="109">
        <f t="shared" si="3"/>
        <v>45614.28</v>
      </c>
      <c r="O37" s="102" t="s">
        <v>450</v>
      </c>
      <c r="P37" s="102" t="s">
        <v>450</v>
      </c>
      <c r="Q37" s="103" t="s">
        <v>450</v>
      </c>
      <c r="R37" s="104" t="s">
        <v>450</v>
      </c>
      <c r="S37" s="104" t="s">
        <v>450</v>
      </c>
    </row>
    <row r="38" spans="1:19" ht="14.25">
      <c r="A38" s="4" t="s">
        <v>202</v>
      </c>
      <c r="B38" s="41" t="s">
        <v>219</v>
      </c>
      <c r="C38" s="4" t="s">
        <v>230</v>
      </c>
      <c r="D38" s="103" t="s">
        <v>450</v>
      </c>
      <c r="E38" s="4" t="s">
        <v>231</v>
      </c>
      <c r="F38" s="3" t="s">
        <v>189</v>
      </c>
      <c r="G38" s="4" t="s">
        <v>204</v>
      </c>
      <c r="H38" s="37"/>
      <c r="I38" s="126">
        <v>0.85</v>
      </c>
      <c r="J38" s="4">
        <v>1</v>
      </c>
      <c r="K38" s="96">
        <f t="shared" si="2"/>
        <v>0.85</v>
      </c>
      <c r="L38" s="127">
        <v>251742</v>
      </c>
      <c r="M38" s="121" t="s">
        <v>229</v>
      </c>
      <c r="N38" s="109">
        <f t="shared" si="3"/>
        <v>213980.69999999998</v>
      </c>
      <c r="O38" s="102" t="s">
        <v>450</v>
      </c>
      <c r="P38" s="102" t="s">
        <v>450</v>
      </c>
      <c r="Q38" s="103" t="s">
        <v>450</v>
      </c>
      <c r="R38" s="104" t="s">
        <v>450</v>
      </c>
      <c r="S38" s="104" t="s">
        <v>450</v>
      </c>
    </row>
    <row r="39" spans="1:19" ht="14.25">
      <c r="A39" s="4" t="s">
        <v>202</v>
      </c>
      <c r="B39" s="41" t="s">
        <v>219</v>
      </c>
      <c r="C39" s="4" t="s">
        <v>232</v>
      </c>
      <c r="D39" s="103" t="s">
        <v>450</v>
      </c>
      <c r="E39" s="4" t="s">
        <v>233</v>
      </c>
      <c r="F39" s="3" t="s">
        <v>189</v>
      </c>
      <c r="G39" s="4" t="s">
        <v>204</v>
      </c>
      <c r="H39" s="37"/>
      <c r="I39" s="126">
        <v>0.69</v>
      </c>
      <c r="J39" s="4">
        <v>1</v>
      </c>
      <c r="K39" s="96">
        <f t="shared" si="2"/>
        <v>0.69</v>
      </c>
      <c r="L39" s="13">
        <v>217699</v>
      </c>
      <c r="M39" s="121" t="s">
        <v>229</v>
      </c>
      <c r="N39" s="109">
        <f t="shared" si="3"/>
        <v>150212.31</v>
      </c>
      <c r="O39" s="102" t="s">
        <v>450</v>
      </c>
      <c r="P39" s="102" t="s">
        <v>450</v>
      </c>
      <c r="Q39" s="103" t="s">
        <v>450</v>
      </c>
      <c r="R39" s="104" t="s">
        <v>450</v>
      </c>
      <c r="S39" s="104" t="s">
        <v>450</v>
      </c>
    </row>
    <row r="40" spans="1:19" ht="14.25">
      <c r="A40" s="4" t="s">
        <v>202</v>
      </c>
      <c r="B40" s="41" t="s">
        <v>219</v>
      </c>
      <c r="C40" s="4" t="s">
        <v>234</v>
      </c>
      <c r="D40" s="103" t="s">
        <v>450</v>
      </c>
      <c r="E40" s="4" t="s">
        <v>235</v>
      </c>
      <c r="F40" s="3" t="s">
        <v>189</v>
      </c>
      <c r="G40" s="4" t="s">
        <v>204</v>
      </c>
      <c r="H40" s="37"/>
      <c r="I40" s="126">
        <v>0.89</v>
      </c>
      <c r="J40" s="4">
        <v>1</v>
      </c>
      <c r="K40" s="96">
        <f t="shared" si="2"/>
        <v>0.89</v>
      </c>
      <c r="L40" s="13">
        <v>87285</v>
      </c>
      <c r="M40" s="121" t="s">
        <v>229</v>
      </c>
      <c r="N40" s="109">
        <f t="shared" si="3"/>
        <v>77683.649999999994</v>
      </c>
      <c r="O40" s="102" t="s">
        <v>450</v>
      </c>
      <c r="P40" s="102" t="s">
        <v>450</v>
      </c>
      <c r="Q40" s="103" t="s">
        <v>450</v>
      </c>
      <c r="R40" s="104" t="s">
        <v>450</v>
      </c>
      <c r="S40" s="104" t="s">
        <v>450</v>
      </c>
    </row>
    <row r="41" spans="1:19" ht="14.25">
      <c r="A41" s="4" t="s">
        <v>202</v>
      </c>
      <c r="B41" s="41" t="s">
        <v>219</v>
      </c>
      <c r="C41" s="4" t="s">
        <v>455</v>
      </c>
      <c r="D41" s="103" t="s">
        <v>450</v>
      </c>
      <c r="E41" s="128" t="s">
        <v>456</v>
      </c>
      <c r="F41" s="129" t="s">
        <v>189</v>
      </c>
      <c r="G41" s="4" t="s">
        <v>204</v>
      </c>
      <c r="H41" s="4"/>
      <c r="I41" s="96">
        <v>120000</v>
      </c>
      <c r="J41" s="4">
        <v>12</v>
      </c>
      <c r="K41" s="96">
        <f t="shared" si="2"/>
        <v>10000</v>
      </c>
      <c r="L41" s="4">
        <v>2</v>
      </c>
      <c r="M41" s="4" t="s">
        <v>454</v>
      </c>
      <c r="N41" s="96">
        <f t="shared" si="3"/>
        <v>20000</v>
      </c>
      <c r="O41" s="102" t="s">
        <v>450</v>
      </c>
      <c r="P41" s="102" t="s">
        <v>450</v>
      </c>
      <c r="Q41" s="103" t="s">
        <v>450</v>
      </c>
      <c r="R41" s="104" t="s">
        <v>450</v>
      </c>
      <c r="S41" s="104" t="s">
        <v>450</v>
      </c>
    </row>
    <row r="42" spans="1:19" ht="14.25">
      <c r="A42" s="4" t="s">
        <v>218</v>
      </c>
      <c r="B42" s="41" t="s">
        <v>86</v>
      </c>
      <c r="C42" s="4" t="s">
        <v>238</v>
      </c>
      <c r="D42" s="103" t="s">
        <v>450</v>
      </c>
      <c r="E42" s="128"/>
      <c r="F42" s="129" t="s">
        <v>189</v>
      </c>
      <c r="G42" s="4" t="s">
        <v>204</v>
      </c>
      <c r="H42" s="4"/>
      <c r="I42" s="96">
        <v>2880000</v>
      </c>
      <c r="J42" s="4">
        <v>60</v>
      </c>
      <c r="K42" s="96">
        <f t="shared" si="2"/>
        <v>48000</v>
      </c>
      <c r="L42" s="4">
        <v>1</v>
      </c>
      <c r="M42" s="4" t="s">
        <v>23</v>
      </c>
      <c r="N42" s="96">
        <f t="shared" si="3"/>
        <v>48000</v>
      </c>
      <c r="O42" s="102" t="s">
        <v>450</v>
      </c>
      <c r="P42" s="102" t="s">
        <v>450</v>
      </c>
      <c r="Q42" s="103" t="s">
        <v>450</v>
      </c>
      <c r="R42" s="104" t="s">
        <v>450</v>
      </c>
      <c r="S42" s="104" t="s">
        <v>450</v>
      </c>
    </row>
    <row r="43" spans="1:19" ht="14.25">
      <c r="A43" s="4" t="s">
        <v>202</v>
      </c>
      <c r="B43" s="41" t="s">
        <v>102</v>
      </c>
      <c r="C43" s="4" t="s">
        <v>457</v>
      </c>
      <c r="D43" s="103" t="s">
        <v>450</v>
      </c>
      <c r="E43" s="4"/>
      <c r="F43" s="3" t="s">
        <v>189</v>
      </c>
      <c r="G43" s="37" t="s">
        <v>204</v>
      </c>
      <c r="H43" s="101"/>
      <c r="I43" s="109">
        <v>120000</v>
      </c>
      <c r="J43" s="4">
        <v>12</v>
      </c>
      <c r="K43" s="96">
        <f t="shared" si="2"/>
        <v>10000</v>
      </c>
      <c r="L43" s="4">
        <v>1</v>
      </c>
      <c r="M43" s="4" t="s">
        <v>454</v>
      </c>
      <c r="N43" s="96">
        <f t="shared" si="3"/>
        <v>10000</v>
      </c>
      <c r="O43" s="102" t="s">
        <v>450</v>
      </c>
      <c r="P43" s="102" t="s">
        <v>450</v>
      </c>
      <c r="Q43" s="103" t="s">
        <v>450</v>
      </c>
      <c r="R43" s="104" t="s">
        <v>450</v>
      </c>
      <c r="S43" s="104" t="s">
        <v>450</v>
      </c>
    </row>
    <row r="44" spans="1:19" ht="14.25">
      <c r="A44" s="4" t="s">
        <v>104</v>
      </c>
      <c r="B44" s="41" t="s">
        <v>102</v>
      </c>
      <c r="C44" s="4" t="s">
        <v>458</v>
      </c>
      <c r="D44" s="103" t="s">
        <v>450</v>
      </c>
      <c r="E44" s="4"/>
      <c r="F44" s="3" t="s">
        <v>102</v>
      </c>
      <c r="G44" s="37" t="s">
        <v>190</v>
      </c>
      <c r="H44" s="43"/>
      <c r="I44" s="130">
        <v>3371115</v>
      </c>
      <c r="J44" s="4">
        <v>12</v>
      </c>
      <c r="K44" s="96">
        <f t="shared" si="2"/>
        <v>280926.25</v>
      </c>
      <c r="L44" s="4">
        <v>1</v>
      </c>
      <c r="M44" s="4" t="s">
        <v>23</v>
      </c>
      <c r="N44" s="96">
        <f t="shared" si="3"/>
        <v>280926.25</v>
      </c>
      <c r="O44" s="102" t="s">
        <v>450</v>
      </c>
      <c r="P44" s="102" t="s">
        <v>450</v>
      </c>
      <c r="Q44" s="103" t="s">
        <v>450</v>
      </c>
      <c r="R44" s="104" t="s">
        <v>450</v>
      </c>
      <c r="S44" s="104" t="s">
        <v>450</v>
      </c>
    </row>
    <row r="45" spans="1:19" ht="14.25">
      <c r="A45" s="4" t="s">
        <v>104</v>
      </c>
      <c r="B45" s="41" t="s">
        <v>102</v>
      </c>
      <c r="C45" s="4" t="s">
        <v>459</v>
      </c>
      <c r="D45" s="103" t="s">
        <v>450</v>
      </c>
      <c r="E45" s="4"/>
      <c r="F45" s="3" t="s">
        <v>102</v>
      </c>
      <c r="G45" s="37" t="s">
        <v>190</v>
      </c>
      <c r="H45" s="43"/>
      <c r="I45" s="130">
        <v>1173700</v>
      </c>
      <c r="J45" s="4">
        <v>12</v>
      </c>
      <c r="K45" s="96">
        <f t="shared" si="2"/>
        <v>97808.333333333328</v>
      </c>
      <c r="L45" s="4">
        <v>1</v>
      </c>
      <c r="M45" s="4" t="s">
        <v>23</v>
      </c>
      <c r="N45" s="96">
        <f t="shared" si="3"/>
        <v>97808.333333333328</v>
      </c>
      <c r="O45" s="102" t="s">
        <v>450</v>
      </c>
      <c r="P45" s="102" t="s">
        <v>450</v>
      </c>
      <c r="Q45" s="103" t="s">
        <v>450</v>
      </c>
      <c r="R45" s="104" t="s">
        <v>450</v>
      </c>
      <c r="S45" s="104" t="s">
        <v>450</v>
      </c>
    </row>
    <row r="51" spans="31:31" ht="12.75">
      <c r="AE51" s="131"/>
    </row>
    <row r="52" spans="31:31" ht="12.75">
      <c r="AE52" s="131"/>
    </row>
  </sheetData>
  <mergeCells count="2">
    <mergeCell ref="B12:B18"/>
    <mergeCell ref="B2:B11"/>
  </mergeCells>
  <phoneticPr fontId="27" type="noConversion"/>
  <dataValidations count="1">
    <dataValidation type="decimal" showInputMessage="1" showErrorMessage="1" sqref="I36"/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数据来源"/>
  <dimension ref="A1:C34"/>
  <sheetViews>
    <sheetView workbookViewId="0"/>
  </sheetViews>
  <sheetFormatPr defaultColWidth="13.7109375" defaultRowHeight="18" customHeight="1"/>
  <cols>
    <col min="1" max="1" width="30.140625" customWidth="1"/>
    <col min="2" max="2" width="32.42578125" customWidth="1"/>
    <col min="3" max="3" width="24.140625" customWidth="1"/>
  </cols>
  <sheetData>
    <row r="1" spans="1:3">
      <c r="A1" s="23" t="s">
        <v>142</v>
      </c>
      <c r="B1" s="23" t="s">
        <v>143</v>
      </c>
      <c r="C1" s="23" t="s">
        <v>144</v>
      </c>
    </row>
    <row r="2" spans="1:3">
      <c r="A2" s="10" t="s">
        <v>145</v>
      </c>
      <c r="B2" s="10" t="s">
        <v>146</v>
      </c>
      <c r="C2" s="10"/>
    </row>
    <row r="3" spans="1:3">
      <c r="A3" s="10" t="s">
        <v>147</v>
      </c>
      <c r="B3" s="10" t="s">
        <v>148</v>
      </c>
      <c r="C3" s="10"/>
    </row>
    <row r="4" spans="1:3">
      <c r="A4" s="10" t="s">
        <v>149</v>
      </c>
      <c r="B4" s="24" t="s">
        <v>146</v>
      </c>
      <c r="C4" s="10"/>
    </row>
    <row r="5" spans="1:3">
      <c r="A5" s="10" t="s">
        <v>150</v>
      </c>
      <c r="B5" s="10" t="s">
        <v>151</v>
      </c>
      <c r="C5" s="10"/>
    </row>
    <row r="6" spans="1:3">
      <c r="A6" s="10" t="s">
        <v>152</v>
      </c>
      <c r="B6" s="10" t="s">
        <v>151</v>
      </c>
      <c r="C6" s="10"/>
    </row>
    <row r="7" spans="1:3">
      <c r="A7" s="10" t="s">
        <v>153</v>
      </c>
      <c r="B7" s="10" t="s">
        <v>151</v>
      </c>
      <c r="C7" s="10"/>
    </row>
    <row r="8" spans="1:3">
      <c r="A8" s="10" t="s">
        <v>154</v>
      </c>
      <c r="B8" t="s">
        <v>151</v>
      </c>
      <c r="C8" s="25" t="s">
        <v>155</v>
      </c>
    </row>
    <row r="9" spans="1:3">
      <c r="A9" s="10" t="s">
        <v>156</v>
      </c>
      <c r="B9" s="10" t="s">
        <v>151</v>
      </c>
      <c r="C9" s="10"/>
    </row>
    <row r="10" spans="1:3">
      <c r="A10" s="10" t="s">
        <v>157</v>
      </c>
      <c r="B10" s="10" t="s">
        <v>151</v>
      </c>
      <c r="C10" s="10"/>
    </row>
    <row r="11" spans="1:3">
      <c r="A11" s="10"/>
      <c r="B11" s="10"/>
      <c r="C11" s="10"/>
    </row>
    <row r="12" spans="1:3">
      <c r="A12" s="10"/>
      <c r="B12" s="10"/>
      <c r="C12" s="10"/>
    </row>
    <row r="13" spans="1:3">
      <c r="A13" s="10"/>
      <c r="B13" s="10"/>
      <c r="C13" s="10"/>
    </row>
    <row r="14" spans="1:3">
      <c r="A14" s="10"/>
      <c r="B14" s="10"/>
      <c r="C14" s="10"/>
    </row>
    <row r="15" spans="1:3">
      <c r="A15" s="10"/>
      <c r="B15" s="10"/>
      <c r="C15" s="10"/>
    </row>
    <row r="16" spans="1:3">
      <c r="A16" s="10"/>
      <c r="B16" s="10"/>
      <c r="C16" s="10"/>
    </row>
    <row r="17" spans="1:3">
      <c r="A17" s="10"/>
      <c r="B17" s="10"/>
      <c r="C17" s="10"/>
    </row>
    <row r="18" spans="1:3">
      <c r="A18" s="10"/>
      <c r="B18" s="10"/>
      <c r="C18" s="10"/>
    </row>
    <row r="19" spans="1:3">
      <c r="A19" s="10"/>
      <c r="B19" s="10"/>
      <c r="C19" s="10"/>
    </row>
    <row r="20" spans="1:3">
      <c r="A20" s="10"/>
      <c r="B20" s="10"/>
      <c r="C20" s="10"/>
    </row>
    <row r="21" spans="1:3">
      <c r="A21" s="10"/>
      <c r="B21" s="10"/>
      <c r="C21" s="10"/>
    </row>
    <row r="22" spans="1:3">
      <c r="A22" s="10"/>
      <c r="B22" s="10"/>
      <c r="C22" s="10"/>
    </row>
    <row r="23" spans="1:3">
      <c r="A23" s="10"/>
      <c r="B23" s="10"/>
      <c r="C23" s="10"/>
    </row>
    <row r="24" spans="1:3">
      <c r="A24" s="10"/>
      <c r="B24" s="10"/>
      <c r="C24" s="10"/>
    </row>
    <row r="25" spans="1:3">
      <c r="A25" s="10"/>
      <c r="B25" s="10"/>
      <c r="C25" s="10"/>
    </row>
    <row r="26" spans="1:3">
      <c r="A26" s="10"/>
      <c r="B26" s="10"/>
      <c r="C26" s="10"/>
    </row>
    <row r="27" spans="1:3">
      <c r="A27" s="10"/>
      <c r="B27" s="10"/>
      <c r="C27" s="10"/>
    </row>
    <row r="28" spans="1:3">
      <c r="A28" s="10"/>
      <c r="B28" s="10"/>
      <c r="C28" s="10"/>
    </row>
    <row r="29" spans="1:3">
      <c r="A29" s="10"/>
      <c r="B29" s="10"/>
      <c r="C29" s="10"/>
    </row>
    <row r="30" spans="1:3">
      <c r="A30" s="10"/>
      <c r="B30" s="10"/>
      <c r="C30" s="10"/>
    </row>
    <row r="31" spans="1:3">
      <c r="A31" s="10"/>
      <c r="B31" s="10"/>
      <c r="C31" s="10"/>
    </row>
    <row r="32" spans="1:3">
      <c r="A32" s="10"/>
      <c r="B32" s="10"/>
      <c r="C32" s="10"/>
    </row>
    <row r="33" spans="1:3">
      <c r="A33" s="10"/>
      <c r="B33" s="10"/>
      <c r="C33" s="10"/>
    </row>
    <row r="34" spans="1:3">
      <c r="A34" s="10"/>
      <c r="B34" s="10"/>
      <c r="C34" s="10"/>
    </row>
  </sheetData>
  <phoneticPr fontId="2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瓶颈资源单价"/>
  <dimension ref="A1:H16"/>
  <sheetViews>
    <sheetView workbookViewId="0"/>
  </sheetViews>
  <sheetFormatPr defaultColWidth="13.7109375" defaultRowHeight="18" customHeight="1"/>
  <cols>
    <col min="1" max="1" width="31.42578125" customWidth="1"/>
    <col min="2" max="2" width="40.85546875" customWidth="1"/>
    <col min="3" max="3" width="36.7109375" customWidth="1"/>
    <col min="4" max="5" width="22.7109375" customWidth="1"/>
    <col min="6" max="6" width="19.7109375" customWidth="1"/>
    <col min="7" max="7" width="41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>
      <c r="A2" s="3">
        <v>1</v>
      </c>
      <c r="B2" s="4" t="s">
        <v>8</v>
      </c>
      <c r="C2" s="4" t="s">
        <v>9</v>
      </c>
      <c r="D2" s="4"/>
      <c r="E2" s="4"/>
      <c r="F2" s="4"/>
      <c r="G2" s="4" t="s">
        <v>10</v>
      </c>
      <c r="H2" s="4"/>
    </row>
    <row r="3" spans="1:8">
      <c r="A3" s="3">
        <v>2</v>
      </c>
      <c r="B3" s="4" t="s">
        <v>11</v>
      </c>
      <c r="C3" s="4" t="s">
        <v>12</v>
      </c>
      <c r="D3" s="4"/>
      <c r="E3" s="4"/>
      <c r="F3" s="4"/>
      <c r="G3" s="4" t="s">
        <v>10</v>
      </c>
      <c r="H3" s="4"/>
    </row>
    <row r="4" spans="1:8">
      <c r="A4" s="3">
        <v>3</v>
      </c>
      <c r="B4" s="4" t="s">
        <v>13</v>
      </c>
      <c r="C4" s="4" t="s">
        <v>14</v>
      </c>
      <c r="D4" s="4"/>
      <c r="E4" s="4"/>
      <c r="F4" s="4"/>
      <c r="G4" s="4" t="s">
        <v>10</v>
      </c>
      <c r="H4" s="4"/>
    </row>
    <row r="5" spans="1:8">
      <c r="A5" s="3">
        <v>4</v>
      </c>
      <c r="B5" s="4" t="s">
        <v>13</v>
      </c>
      <c r="C5" s="4" t="s">
        <v>15</v>
      </c>
      <c r="D5" s="4"/>
      <c r="E5" s="4"/>
      <c r="F5" s="4"/>
      <c r="G5" s="4" t="s">
        <v>10</v>
      </c>
      <c r="H5" s="4"/>
    </row>
    <row r="6" spans="1:8">
      <c r="A6" s="3">
        <v>5</v>
      </c>
      <c r="B6" s="4" t="s">
        <v>13</v>
      </c>
      <c r="C6" s="4" t="s">
        <v>16</v>
      </c>
      <c r="D6" s="4"/>
      <c r="E6" s="4"/>
      <c r="F6" s="4"/>
      <c r="G6" s="4" t="s">
        <v>10</v>
      </c>
      <c r="H6" s="4"/>
    </row>
    <row r="7" spans="1:8">
      <c r="A7" s="3">
        <v>6</v>
      </c>
      <c r="B7" s="4" t="s">
        <v>13</v>
      </c>
      <c r="C7" s="4" t="s">
        <v>17</v>
      </c>
      <c r="D7" s="4"/>
      <c r="E7" s="4"/>
      <c r="F7" s="4"/>
      <c r="G7" s="4" t="s">
        <v>10</v>
      </c>
      <c r="H7" s="4"/>
    </row>
    <row r="8" spans="1:8">
      <c r="A8" s="3">
        <v>7</v>
      </c>
      <c r="B8" s="4" t="s">
        <v>8</v>
      </c>
      <c r="C8" s="4" t="s">
        <v>18</v>
      </c>
      <c r="D8" s="4"/>
      <c r="E8" s="4"/>
      <c r="F8" s="4"/>
      <c r="G8" s="4" t="s">
        <v>10</v>
      </c>
      <c r="H8" s="4"/>
    </row>
    <row r="9" spans="1:8">
      <c r="A9" s="5">
        <v>8</v>
      </c>
      <c r="B9" s="4" t="s">
        <v>13</v>
      </c>
      <c r="C9" s="4" t="s">
        <v>19</v>
      </c>
      <c r="D9" s="6"/>
      <c r="E9" s="6"/>
      <c r="F9" s="6"/>
      <c r="G9" s="4" t="s">
        <v>10</v>
      </c>
      <c r="H9" s="4"/>
    </row>
    <row r="10" spans="1:8">
      <c r="A10" s="7" t="s">
        <v>20</v>
      </c>
      <c r="B10" s="6" t="s">
        <v>21</v>
      </c>
      <c r="C10" s="6" t="s">
        <v>22</v>
      </c>
      <c r="D10" s="6"/>
      <c r="E10" s="6">
        <v>10</v>
      </c>
      <c r="F10" s="6" t="s">
        <v>23</v>
      </c>
      <c r="G10" s="6" t="s">
        <v>24</v>
      </c>
      <c r="H10" s="4"/>
    </row>
    <row r="11" spans="1:8">
      <c r="A11" s="7"/>
      <c r="B11" s="6"/>
      <c r="C11" s="6" t="s">
        <v>25</v>
      </c>
      <c r="D11" s="6"/>
      <c r="E11" s="6"/>
      <c r="F11" s="6"/>
      <c r="G11" s="6"/>
      <c r="H11" s="4"/>
    </row>
    <row r="12" spans="1:8">
      <c r="A12" s="7" t="s">
        <v>20</v>
      </c>
      <c r="B12" s="6" t="s">
        <v>21</v>
      </c>
      <c r="C12" s="6" t="s">
        <v>26</v>
      </c>
      <c r="D12" s="6"/>
      <c r="E12" s="6">
        <v>20</v>
      </c>
      <c r="F12" s="6" t="s">
        <v>23</v>
      </c>
      <c r="G12" s="6" t="s">
        <v>27</v>
      </c>
      <c r="H12" s="4"/>
    </row>
    <row r="13" spans="1:8">
      <c r="A13" s="3"/>
      <c r="B13" s="4" t="s">
        <v>28</v>
      </c>
      <c r="C13" s="4" t="s">
        <v>29</v>
      </c>
      <c r="D13" s="4"/>
      <c r="E13" s="4"/>
      <c r="F13" s="4" t="s">
        <v>28</v>
      </c>
      <c r="G13" s="4"/>
      <c r="H13" s="4"/>
    </row>
    <row r="14" spans="1:8">
      <c r="A14" s="3"/>
      <c r="B14" s="4" t="s">
        <v>28</v>
      </c>
      <c r="C14" s="4" t="s">
        <v>30</v>
      </c>
      <c r="D14" s="4"/>
      <c r="E14" s="4"/>
      <c r="F14" s="4" t="s">
        <v>28</v>
      </c>
      <c r="G14" s="4"/>
      <c r="H14" s="4"/>
    </row>
    <row r="15" spans="1:8">
      <c r="A15" s="3"/>
      <c r="B15" s="4"/>
      <c r="C15" s="4" t="s">
        <v>31</v>
      </c>
      <c r="D15" s="4"/>
      <c r="E15" s="4"/>
      <c r="F15" s="4"/>
      <c r="G15" s="4"/>
      <c r="H15" s="4"/>
    </row>
    <row r="16" spans="1:8">
      <c r="A16" s="3"/>
      <c r="B16" s="4"/>
      <c r="C16" s="4" t="s">
        <v>32</v>
      </c>
      <c r="D16" s="4"/>
      <c r="E16" s="4"/>
      <c r="F16" s="4"/>
      <c r="G16" s="4"/>
      <c r="H16" s="4"/>
    </row>
  </sheetData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资产系统资产与分类对应"/>
  <dimension ref="A1:I48"/>
  <sheetViews>
    <sheetView workbookViewId="0"/>
  </sheetViews>
  <sheetFormatPr defaultColWidth="13.7109375" defaultRowHeight="18" customHeight="1"/>
  <cols>
    <col min="1" max="1" width="19.7109375" customWidth="1"/>
    <col min="2" max="2" width="24.7109375" customWidth="1"/>
    <col min="3" max="5" width="25.5703125" customWidth="1"/>
    <col min="6" max="9" width="37.7109375" customWidth="1"/>
  </cols>
  <sheetData>
    <row r="1" spans="1:9">
      <c r="A1" s="72" t="s">
        <v>388</v>
      </c>
      <c r="B1" s="72" t="s">
        <v>33</v>
      </c>
      <c r="C1" s="73" t="s">
        <v>389</v>
      </c>
      <c r="D1" s="73" t="s">
        <v>390</v>
      </c>
      <c r="E1" s="72" t="s">
        <v>391</v>
      </c>
      <c r="F1" s="73" t="s">
        <v>392</v>
      </c>
      <c r="G1" s="72" t="s">
        <v>34</v>
      </c>
      <c r="H1" s="72" t="s">
        <v>35</v>
      </c>
      <c r="I1" s="72" t="s">
        <v>144</v>
      </c>
    </row>
    <row r="2" spans="1:9">
      <c r="A2" s="144" t="s">
        <v>201</v>
      </c>
      <c r="B2" s="74" t="s">
        <v>393</v>
      </c>
      <c r="C2" s="75" t="s">
        <v>394</v>
      </c>
      <c r="D2" s="75" t="s">
        <v>395</v>
      </c>
      <c r="E2" s="10" t="s">
        <v>396</v>
      </c>
      <c r="F2" s="76" t="s">
        <v>397</v>
      </c>
      <c r="G2" s="74">
        <v>972900</v>
      </c>
      <c r="H2" s="74">
        <v>60</v>
      </c>
      <c r="I2" s="74" t="s">
        <v>398</v>
      </c>
    </row>
    <row r="3" spans="1:9">
      <c r="A3" s="142"/>
      <c r="B3" s="77" t="s">
        <v>399</v>
      </c>
      <c r="C3" s="78" t="s">
        <v>400</v>
      </c>
      <c r="D3" s="78" t="s">
        <v>401</v>
      </c>
      <c r="E3" s="10" t="s">
        <v>402</v>
      </c>
      <c r="F3" s="79" t="s">
        <v>49</v>
      </c>
      <c r="G3" s="80">
        <v>285999.99</v>
      </c>
      <c r="H3" s="74">
        <v>60</v>
      </c>
      <c r="I3" s="80"/>
    </row>
    <row r="4" spans="1:9">
      <c r="A4" s="142"/>
      <c r="B4" s="77" t="s">
        <v>403</v>
      </c>
      <c r="C4" s="78" t="s">
        <v>404</v>
      </c>
      <c r="D4" s="78"/>
      <c r="E4" s="10" t="s">
        <v>402</v>
      </c>
      <c r="F4" s="79" t="s">
        <v>405</v>
      </c>
      <c r="G4" s="80">
        <v>91500</v>
      </c>
      <c r="H4" s="74">
        <v>60</v>
      </c>
      <c r="I4" s="80" t="s">
        <v>406</v>
      </c>
    </row>
    <row r="5" spans="1:9">
      <c r="A5" s="142"/>
      <c r="B5" s="77" t="s">
        <v>407</v>
      </c>
      <c r="C5" s="78" t="s">
        <v>408</v>
      </c>
      <c r="D5" s="78"/>
      <c r="E5" s="10" t="s">
        <v>402</v>
      </c>
      <c r="F5" s="79" t="s">
        <v>409</v>
      </c>
      <c r="G5" s="80">
        <v>75000</v>
      </c>
      <c r="H5" s="74">
        <v>60</v>
      </c>
      <c r="I5" s="80" t="s">
        <v>406</v>
      </c>
    </row>
    <row r="6" spans="1:9">
      <c r="A6" s="142"/>
      <c r="B6" s="81" t="s">
        <v>410</v>
      </c>
      <c r="C6" s="82" t="s">
        <v>411</v>
      </c>
      <c r="D6" s="82" t="s">
        <v>412</v>
      </c>
      <c r="E6" s="10" t="s">
        <v>402</v>
      </c>
      <c r="F6" s="83" t="s">
        <v>413</v>
      </c>
      <c r="G6" s="84">
        <v>97500</v>
      </c>
      <c r="H6" s="84">
        <v>60</v>
      </c>
      <c r="I6" s="84" t="s">
        <v>414</v>
      </c>
    </row>
    <row r="7" spans="1:9">
      <c r="A7" s="142"/>
      <c r="B7" s="85" t="s">
        <v>415</v>
      </c>
      <c r="C7" s="86" t="s">
        <v>411</v>
      </c>
      <c r="D7" s="86">
        <v>7838075</v>
      </c>
      <c r="E7" s="10" t="s">
        <v>416</v>
      </c>
      <c r="F7" s="87"/>
      <c r="G7" s="88"/>
      <c r="H7" s="88"/>
      <c r="I7" s="88" t="s">
        <v>417</v>
      </c>
    </row>
    <row r="8" spans="1:9">
      <c r="A8" s="142"/>
      <c r="B8" s="81" t="s">
        <v>418</v>
      </c>
      <c r="C8" s="82" t="s">
        <v>419</v>
      </c>
      <c r="D8" s="82" t="s">
        <v>420</v>
      </c>
      <c r="E8" s="10"/>
      <c r="F8" s="83" t="s">
        <v>421</v>
      </c>
      <c r="G8" s="84"/>
      <c r="H8" s="84"/>
      <c r="I8" s="84" t="s">
        <v>422</v>
      </c>
    </row>
    <row r="9" spans="1:9">
      <c r="A9" s="142"/>
      <c r="B9" s="81" t="s">
        <v>423</v>
      </c>
      <c r="C9" s="82" t="s">
        <v>419</v>
      </c>
      <c r="D9" s="82" t="s">
        <v>424</v>
      </c>
      <c r="E9" s="10"/>
      <c r="F9" s="83"/>
      <c r="G9" s="84"/>
      <c r="H9" s="84"/>
      <c r="I9" s="84" t="s">
        <v>422</v>
      </c>
    </row>
    <row r="10" spans="1:9">
      <c r="A10" s="142"/>
      <c r="B10" s="77" t="s">
        <v>425</v>
      </c>
      <c r="C10" s="78" t="s">
        <v>408</v>
      </c>
      <c r="D10" s="78" t="s">
        <v>426</v>
      </c>
      <c r="E10" s="10"/>
      <c r="F10" s="79"/>
      <c r="G10" s="80"/>
      <c r="H10" s="80"/>
      <c r="I10" s="80"/>
    </row>
    <row r="11" spans="1:9">
      <c r="A11" s="142"/>
      <c r="B11" s="77" t="s">
        <v>427</v>
      </c>
      <c r="C11" s="78" t="s">
        <v>408</v>
      </c>
      <c r="D11" s="78"/>
      <c r="E11" s="10"/>
      <c r="F11" s="79"/>
      <c r="G11" s="80"/>
      <c r="H11" s="80"/>
      <c r="I11" s="80" t="s">
        <v>428</v>
      </c>
    </row>
    <row r="12" spans="1:9">
      <c r="A12" s="142"/>
      <c r="B12" s="77" t="s">
        <v>429</v>
      </c>
      <c r="C12" s="78" t="s">
        <v>408</v>
      </c>
      <c r="D12" s="78"/>
      <c r="E12" s="10"/>
      <c r="F12" s="79"/>
      <c r="G12" s="80"/>
      <c r="H12" s="80"/>
      <c r="I12" s="80" t="s">
        <v>428</v>
      </c>
    </row>
    <row r="13" spans="1:9">
      <c r="A13" s="142"/>
      <c r="B13" s="77"/>
      <c r="C13" s="78" t="s">
        <v>408</v>
      </c>
      <c r="D13" s="78"/>
      <c r="E13" s="10"/>
      <c r="F13" s="79"/>
      <c r="G13" s="80"/>
      <c r="H13" s="80"/>
      <c r="I13" s="80" t="s">
        <v>428</v>
      </c>
    </row>
    <row r="14" spans="1:9">
      <c r="A14" s="142"/>
      <c r="B14" s="81" t="s">
        <v>430</v>
      </c>
      <c r="C14" s="82" t="s">
        <v>431</v>
      </c>
      <c r="D14" s="82" t="s">
        <v>432</v>
      </c>
      <c r="E14" s="10"/>
      <c r="F14" s="83"/>
      <c r="G14" s="84"/>
      <c r="H14" s="84"/>
      <c r="I14" s="84" t="s">
        <v>433</v>
      </c>
    </row>
    <row r="15" spans="1:9">
      <c r="A15" s="142"/>
      <c r="B15" s="77" t="s">
        <v>434</v>
      </c>
      <c r="C15" s="78" t="s">
        <v>408</v>
      </c>
      <c r="D15" s="89" t="s">
        <v>435</v>
      </c>
      <c r="E15" s="10"/>
      <c r="F15" s="79"/>
      <c r="G15" s="80"/>
      <c r="H15" s="80"/>
      <c r="I15" s="80"/>
    </row>
    <row r="16" spans="1:9">
      <c r="A16" s="142"/>
      <c r="B16" s="77"/>
      <c r="C16" s="78" t="s">
        <v>408</v>
      </c>
      <c r="D16" s="78"/>
      <c r="E16" s="10"/>
      <c r="F16" s="79"/>
      <c r="G16" s="80"/>
      <c r="H16" s="80"/>
      <c r="I16" s="80" t="s">
        <v>428</v>
      </c>
    </row>
    <row r="17" spans="1:9">
      <c r="A17" s="142"/>
      <c r="B17" s="81" t="s">
        <v>436</v>
      </c>
      <c r="C17" s="82" t="s">
        <v>411</v>
      </c>
      <c r="D17" s="82">
        <v>7825594</v>
      </c>
      <c r="E17" s="10"/>
      <c r="F17" s="83"/>
      <c r="G17" s="84"/>
      <c r="H17" s="84"/>
      <c r="I17" s="84" t="s">
        <v>437</v>
      </c>
    </row>
    <row r="18" spans="1:9">
      <c r="A18" s="143"/>
      <c r="B18" s="77" t="s">
        <v>438</v>
      </c>
      <c r="C18" s="78" t="s">
        <v>439</v>
      </c>
      <c r="D18" s="78" t="s">
        <v>440</v>
      </c>
      <c r="E18" s="10"/>
      <c r="F18" s="79"/>
      <c r="G18" s="80"/>
      <c r="H18" s="80"/>
      <c r="I18" s="80" t="s">
        <v>441</v>
      </c>
    </row>
    <row r="19" spans="1:9">
      <c r="A19" s="10"/>
      <c r="B19" s="10"/>
      <c r="C19" s="10"/>
      <c r="D19" s="10"/>
      <c r="E19" s="10"/>
      <c r="F19" s="10"/>
      <c r="G19" s="10"/>
      <c r="H19" s="10"/>
      <c r="I19" s="10"/>
    </row>
    <row r="20" spans="1:9">
      <c r="A20" s="10"/>
      <c r="B20" s="10"/>
      <c r="C20" s="10"/>
      <c r="D20" s="10"/>
      <c r="E20" s="10"/>
      <c r="F20" s="10"/>
      <c r="G20" s="10"/>
      <c r="H20" s="10"/>
      <c r="I20" s="10"/>
    </row>
    <row r="21" spans="1:9">
      <c r="A21" s="10"/>
      <c r="B21" s="10"/>
      <c r="C21" s="10"/>
      <c r="D21" s="10"/>
      <c r="E21" s="10"/>
      <c r="F21" s="10"/>
      <c r="G21" s="10"/>
      <c r="H21" s="10"/>
      <c r="I21" s="10"/>
    </row>
    <row r="22" spans="1:9">
      <c r="A22" s="10"/>
      <c r="B22" s="10"/>
      <c r="C22" s="10"/>
      <c r="D22" s="10"/>
      <c r="E22" s="10"/>
      <c r="F22" s="10"/>
      <c r="G22" s="10"/>
      <c r="H22" s="10"/>
      <c r="I22" s="10"/>
    </row>
    <row r="23" spans="1:9">
      <c r="A23" s="10"/>
      <c r="B23" s="10"/>
      <c r="C23" s="10"/>
      <c r="D23" s="10"/>
      <c r="E23" s="10"/>
      <c r="F23" s="10"/>
      <c r="G23" s="10"/>
      <c r="H23" s="10"/>
      <c r="I23" s="10"/>
    </row>
    <row r="24" spans="1:9">
      <c r="A24" s="10"/>
      <c r="B24" s="10"/>
      <c r="C24" s="10"/>
      <c r="D24" s="10"/>
      <c r="E24" s="10"/>
      <c r="F24" s="10"/>
      <c r="G24" s="10"/>
      <c r="H24" s="10"/>
      <c r="I24" s="10"/>
    </row>
    <row r="25" spans="1:9">
      <c r="A25" s="10"/>
      <c r="B25" s="10"/>
      <c r="C25" s="10"/>
      <c r="D25" s="10"/>
      <c r="E25" s="10"/>
      <c r="F25" s="10"/>
      <c r="G25" s="10"/>
      <c r="H25" s="10"/>
      <c r="I25" s="10"/>
    </row>
    <row r="26" spans="1:9">
      <c r="A26" s="10"/>
      <c r="B26" s="10"/>
      <c r="C26" s="10"/>
      <c r="D26" s="10"/>
      <c r="E26" s="10"/>
      <c r="F26" s="10"/>
      <c r="G26" s="10"/>
      <c r="H26" s="10"/>
      <c r="I26" s="10"/>
    </row>
    <row r="27" spans="1:9">
      <c r="A27" s="10"/>
      <c r="B27" s="10"/>
      <c r="C27" s="10"/>
      <c r="D27" s="10"/>
      <c r="E27" s="10"/>
      <c r="F27" s="10"/>
      <c r="G27" s="10"/>
      <c r="H27" s="10"/>
      <c r="I27" s="10"/>
    </row>
    <row r="28" spans="1:9">
      <c r="A28" s="10"/>
      <c r="B28" s="10"/>
      <c r="C28" s="10"/>
      <c r="D28" s="10"/>
      <c r="E28" s="10"/>
      <c r="F28" s="10"/>
      <c r="G28" s="10"/>
      <c r="H28" s="10"/>
      <c r="I28" s="10"/>
    </row>
    <row r="29" spans="1:9">
      <c r="A29" s="10"/>
      <c r="B29" s="10"/>
      <c r="C29" s="10"/>
      <c r="D29" s="10"/>
      <c r="E29" s="10"/>
      <c r="F29" s="10"/>
      <c r="G29" s="10"/>
      <c r="H29" s="10"/>
      <c r="I29" s="10"/>
    </row>
    <row r="30" spans="1:9">
      <c r="A30" s="10"/>
      <c r="B30" s="10"/>
      <c r="C30" s="10"/>
      <c r="D30" s="10"/>
      <c r="E30" s="10"/>
      <c r="F30" s="10"/>
      <c r="G30" s="10"/>
      <c r="H30" s="10"/>
      <c r="I30" s="10"/>
    </row>
    <row r="31" spans="1:9">
      <c r="A31" s="10"/>
      <c r="B31" s="10"/>
      <c r="C31" s="10"/>
      <c r="D31" s="10"/>
      <c r="E31" s="10"/>
      <c r="F31" s="10"/>
      <c r="G31" s="10"/>
      <c r="H31" s="10"/>
      <c r="I31" s="10"/>
    </row>
    <row r="32" spans="1:9">
      <c r="A32" s="10"/>
      <c r="B32" s="10"/>
      <c r="C32" s="10"/>
      <c r="D32" s="10"/>
      <c r="E32" s="10"/>
      <c r="F32" s="10"/>
      <c r="G32" s="10"/>
      <c r="H32" s="10"/>
      <c r="I32" s="10"/>
    </row>
    <row r="33" spans="1:9">
      <c r="A33" s="10"/>
      <c r="B33" s="10"/>
      <c r="C33" s="10"/>
      <c r="D33" s="10"/>
      <c r="E33" s="10"/>
      <c r="F33" s="10"/>
      <c r="G33" s="10"/>
      <c r="H33" s="10"/>
      <c r="I33" s="10"/>
    </row>
    <row r="34" spans="1:9">
      <c r="A34" s="10"/>
      <c r="B34" s="10"/>
      <c r="C34" s="10"/>
      <c r="D34" s="10"/>
      <c r="E34" s="10"/>
      <c r="F34" s="10"/>
      <c r="G34" s="10"/>
      <c r="H34" s="10"/>
      <c r="I34" s="10"/>
    </row>
    <row r="35" spans="1:9">
      <c r="A35" s="10"/>
      <c r="B35" s="10"/>
      <c r="C35" s="10"/>
      <c r="D35" s="10"/>
      <c r="E35" s="10"/>
      <c r="F35" s="10"/>
      <c r="G35" s="10"/>
      <c r="H35" s="10"/>
      <c r="I35" s="10"/>
    </row>
    <row r="36" spans="1:9">
      <c r="A36" s="10"/>
      <c r="B36" s="10"/>
      <c r="C36" s="10"/>
      <c r="D36" s="10"/>
      <c r="E36" s="10"/>
      <c r="F36" s="10"/>
      <c r="G36" s="10"/>
      <c r="H36" s="10"/>
      <c r="I36" s="10"/>
    </row>
    <row r="37" spans="1:9">
      <c r="A37" s="10"/>
      <c r="B37" s="10"/>
      <c r="C37" s="10"/>
      <c r="D37" s="10"/>
      <c r="E37" s="10"/>
      <c r="F37" s="10"/>
      <c r="G37" s="10"/>
      <c r="H37" s="10"/>
      <c r="I37" s="10"/>
    </row>
    <row r="38" spans="1:9">
      <c r="A38" s="10"/>
      <c r="B38" s="10"/>
      <c r="C38" s="10"/>
      <c r="D38" s="10"/>
      <c r="E38" s="10"/>
      <c r="F38" s="10"/>
      <c r="G38" s="10"/>
      <c r="H38" s="10"/>
      <c r="I38" s="10"/>
    </row>
    <row r="39" spans="1:9">
      <c r="A39" s="10"/>
      <c r="B39" s="10"/>
      <c r="C39" s="10"/>
      <c r="D39" s="10"/>
      <c r="E39" s="10"/>
      <c r="F39" s="10"/>
      <c r="G39" s="10"/>
      <c r="H39" s="10"/>
      <c r="I39" s="10"/>
    </row>
    <row r="40" spans="1:9">
      <c r="A40" s="10"/>
      <c r="B40" s="10"/>
      <c r="C40" s="10"/>
      <c r="D40" s="10"/>
      <c r="E40" s="10"/>
      <c r="F40" s="10"/>
      <c r="G40" s="10"/>
      <c r="H40" s="10"/>
      <c r="I40" s="10"/>
    </row>
    <row r="41" spans="1:9">
      <c r="A41" s="10"/>
      <c r="B41" s="10"/>
      <c r="C41" s="10"/>
      <c r="D41" s="10"/>
      <c r="E41" s="10"/>
      <c r="F41" s="10"/>
      <c r="G41" s="10"/>
      <c r="H41" s="10"/>
      <c r="I41" s="10"/>
    </row>
    <row r="42" spans="1:9">
      <c r="A42" s="10"/>
      <c r="B42" s="10"/>
      <c r="C42" s="10"/>
      <c r="D42" s="10"/>
      <c r="E42" s="10"/>
      <c r="F42" s="10"/>
      <c r="G42" s="10"/>
      <c r="H42" s="10"/>
      <c r="I42" s="10"/>
    </row>
    <row r="43" spans="1:9">
      <c r="A43" s="10"/>
      <c r="B43" s="10"/>
      <c r="C43" s="10"/>
      <c r="D43" s="10"/>
      <c r="E43" s="10"/>
      <c r="F43" s="10"/>
      <c r="G43" s="10"/>
      <c r="H43" s="10"/>
      <c r="I43" s="10"/>
    </row>
    <row r="44" spans="1:9">
      <c r="A44" s="10"/>
      <c r="B44" s="10"/>
      <c r="C44" s="10"/>
      <c r="D44" s="10"/>
      <c r="E44" s="10"/>
      <c r="F44" s="10"/>
      <c r="G44" s="10"/>
      <c r="H44" s="10"/>
      <c r="I44" s="10"/>
    </row>
    <row r="45" spans="1:9">
      <c r="A45" s="10"/>
      <c r="B45" s="10"/>
      <c r="C45" s="10"/>
      <c r="D45" s="10"/>
      <c r="E45" s="10"/>
      <c r="F45" s="10"/>
      <c r="G45" s="10"/>
      <c r="H45" s="10"/>
      <c r="I45" s="10"/>
    </row>
    <row r="46" spans="1:9">
      <c r="A46" s="10"/>
      <c r="B46" s="10"/>
      <c r="C46" s="10"/>
      <c r="D46" s="10"/>
      <c r="E46" s="10"/>
      <c r="F46" s="10"/>
      <c r="G46" s="10"/>
      <c r="H46" s="10"/>
      <c r="I46" s="10"/>
    </row>
    <row r="47" spans="1:9">
      <c r="A47" s="10"/>
      <c r="B47" s="10"/>
      <c r="C47" s="10"/>
      <c r="D47" s="10"/>
      <c r="E47" s="10"/>
      <c r="F47" s="10"/>
      <c r="G47" s="10"/>
      <c r="H47" s="10"/>
      <c r="I47" s="10"/>
    </row>
    <row r="48" spans="1:9">
      <c r="A48" s="10"/>
      <c r="B48" s="10"/>
      <c r="C48" s="10"/>
      <c r="D48" s="10"/>
      <c r="E48" s="10"/>
      <c r="F48" s="10"/>
      <c r="G48" s="10"/>
      <c r="H48" s="10"/>
      <c r="I48" s="10"/>
    </row>
  </sheetData>
  <mergeCells count="1">
    <mergeCell ref="A2:A18"/>
  </mergeCells>
  <phoneticPr fontId="2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产品成本对应（草稿）"/>
  <dimension ref="A1:G72"/>
  <sheetViews>
    <sheetView workbookViewId="0">
      <pane ySplit="1" topLeftCell="A2" activePane="bottomLeft" state="frozen"/>
      <selection pane="bottomLeft"/>
    </sheetView>
  </sheetViews>
  <sheetFormatPr defaultColWidth="13.7109375" defaultRowHeight="18" customHeight="1"/>
  <cols>
    <col min="1" max="1" width="9.7109375" customWidth="1"/>
    <col min="2" max="2" width="54.7109375" customWidth="1"/>
    <col min="3" max="3" width="33.7109375" customWidth="1"/>
    <col min="4" max="4" width="55.28515625" customWidth="1"/>
    <col min="5" max="5" width="49.7109375" customWidth="1"/>
    <col min="6" max="6" width="18" customWidth="1"/>
    <col min="7" max="7" width="19.42578125" customWidth="1"/>
  </cols>
  <sheetData>
    <row r="1" spans="1:7">
      <c r="A1" s="1" t="s">
        <v>43</v>
      </c>
      <c r="B1" s="16" t="s">
        <v>44</v>
      </c>
      <c r="C1" s="16" t="s">
        <v>45</v>
      </c>
      <c r="D1" s="16" t="s">
        <v>46</v>
      </c>
      <c r="E1" s="16" t="s">
        <v>47</v>
      </c>
      <c r="F1" s="16" t="s">
        <v>48</v>
      </c>
      <c r="G1" s="16" t="s">
        <v>33</v>
      </c>
    </row>
    <row r="2" spans="1:7">
      <c r="A2" s="139" t="s">
        <v>49</v>
      </c>
      <c r="B2" s="4" t="s">
        <v>9</v>
      </c>
      <c r="C2" s="4" t="s">
        <v>9</v>
      </c>
      <c r="D2" s="4"/>
      <c r="E2" s="4" t="s">
        <v>23</v>
      </c>
      <c r="F2" s="4">
        <v>1</v>
      </c>
      <c r="G2" s="17" t="s">
        <v>50</v>
      </c>
    </row>
    <row r="3" spans="1:7">
      <c r="A3" s="140"/>
      <c r="B3" s="4" t="s">
        <v>12</v>
      </c>
      <c r="C3" s="4" t="s">
        <v>12</v>
      </c>
      <c r="D3" s="4"/>
      <c r="E3" s="4" t="s">
        <v>23</v>
      </c>
      <c r="F3" s="4">
        <v>2</v>
      </c>
      <c r="G3" s="18" t="s">
        <v>51</v>
      </c>
    </row>
    <row r="4" spans="1:7">
      <c r="A4" s="140"/>
      <c r="B4" s="4" t="s">
        <v>14</v>
      </c>
      <c r="C4" s="4" t="s">
        <v>14</v>
      </c>
      <c r="D4" s="4"/>
      <c r="E4" s="4" t="s">
        <v>23</v>
      </c>
      <c r="F4" s="4"/>
      <c r="G4" s="19" t="s">
        <v>52</v>
      </c>
    </row>
    <row r="5" spans="1:7">
      <c r="A5" s="140"/>
      <c r="B5" s="4" t="s">
        <v>15</v>
      </c>
      <c r="C5" s="4" t="s">
        <v>15</v>
      </c>
      <c r="D5" s="4"/>
      <c r="E5" s="4" t="s">
        <v>23</v>
      </c>
      <c r="F5" s="4"/>
      <c r="G5" s="19" t="s">
        <v>53</v>
      </c>
    </row>
    <row r="6" spans="1:7">
      <c r="A6" s="140"/>
      <c r="B6" s="4" t="s">
        <v>16</v>
      </c>
      <c r="C6" s="4" t="s">
        <v>16</v>
      </c>
      <c r="D6" s="4"/>
      <c r="E6" s="4" t="s">
        <v>23</v>
      </c>
      <c r="F6" s="4"/>
      <c r="G6" s="19" t="s">
        <v>54</v>
      </c>
    </row>
    <row r="7" spans="1:7">
      <c r="A7" s="140"/>
      <c r="B7" s="4" t="s">
        <v>17</v>
      </c>
      <c r="C7" s="4" t="s">
        <v>17</v>
      </c>
      <c r="D7" s="4"/>
      <c r="E7" s="4" t="s">
        <v>23</v>
      </c>
      <c r="F7" s="4"/>
      <c r="G7" s="4" t="s">
        <v>55</v>
      </c>
    </row>
    <row r="8" spans="1:7">
      <c r="A8" s="140"/>
      <c r="B8" s="4" t="s">
        <v>18</v>
      </c>
      <c r="C8" s="4" t="s">
        <v>18</v>
      </c>
      <c r="D8" s="4"/>
      <c r="E8" s="4" t="s">
        <v>23</v>
      </c>
      <c r="F8" s="4"/>
      <c r="G8" s="17" t="s">
        <v>56</v>
      </c>
    </row>
    <row r="9" spans="1:7">
      <c r="A9" s="140"/>
      <c r="B9" s="4" t="s">
        <v>57</v>
      </c>
      <c r="C9" s="4" t="s">
        <v>57</v>
      </c>
      <c r="D9" s="4"/>
      <c r="E9" s="4" t="s">
        <v>23</v>
      </c>
      <c r="F9" s="4"/>
      <c r="G9" s="18" t="s">
        <v>58</v>
      </c>
    </row>
    <row r="10" spans="1:7">
      <c r="A10" s="140"/>
      <c r="B10" s="4" t="s">
        <v>59</v>
      </c>
      <c r="C10" s="4" t="s">
        <v>59</v>
      </c>
      <c r="D10" s="4"/>
      <c r="E10" s="4" t="s">
        <v>23</v>
      </c>
      <c r="F10" s="4"/>
      <c r="G10" s="18" t="s">
        <v>60</v>
      </c>
    </row>
    <row r="11" spans="1:7">
      <c r="A11" s="140"/>
      <c r="B11" s="4" t="s">
        <v>61</v>
      </c>
      <c r="C11" s="4" t="s">
        <v>61</v>
      </c>
      <c r="D11" s="4"/>
      <c r="E11" s="4" t="s">
        <v>23</v>
      </c>
      <c r="F11" s="4"/>
      <c r="G11" s="18" t="s">
        <v>62</v>
      </c>
    </row>
    <row r="12" spans="1:7">
      <c r="A12" s="140"/>
      <c r="B12" s="4" t="s">
        <v>63</v>
      </c>
      <c r="C12" s="4" t="s">
        <v>63</v>
      </c>
      <c r="D12" s="4"/>
      <c r="E12" s="4" t="s">
        <v>64</v>
      </c>
      <c r="F12" s="4"/>
      <c r="G12" s="20" t="s">
        <v>65</v>
      </c>
    </row>
    <row r="13" spans="1:7">
      <c r="A13" s="140"/>
      <c r="B13" s="4" t="s">
        <v>66</v>
      </c>
      <c r="C13" s="4" t="s">
        <v>66</v>
      </c>
      <c r="D13" s="4"/>
      <c r="E13" s="4" t="s">
        <v>64</v>
      </c>
      <c r="F13" s="4"/>
      <c r="G13" s="18" t="s">
        <v>67</v>
      </c>
    </row>
    <row r="14" spans="1:7">
      <c r="A14" s="140"/>
      <c r="B14" s="4" t="s">
        <v>68</v>
      </c>
      <c r="C14" s="4" t="s">
        <v>68</v>
      </c>
      <c r="D14" s="4"/>
      <c r="E14" s="4" t="s">
        <v>64</v>
      </c>
      <c r="F14" s="4"/>
      <c r="G14" s="3" t="s">
        <v>69</v>
      </c>
    </row>
    <row r="15" spans="1:7">
      <c r="A15" s="140"/>
      <c r="B15" s="4" t="s">
        <v>70</v>
      </c>
      <c r="C15" s="4" t="s">
        <v>70</v>
      </c>
      <c r="D15" s="4"/>
      <c r="E15" s="4" t="s">
        <v>64</v>
      </c>
      <c r="F15" s="4"/>
      <c r="G15" s="19" t="s">
        <v>71</v>
      </c>
    </row>
    <row r="16" spans="1:7">
      <c r="A16" s="140"/>
      <c r="B16" s="4" t="s">
        <v>72</v>
      </c>
      <c r="C16" s="4" t="s">
        <v>72</v>
      </c>
      <c r="D16" s="4"/>
      <c r="E16" s="4" t="s">
        <v>64</v>
      </c>
      <c r="F16" s="4"/>
      <c r="G16" s="19" t="s">
        <v>73</v>
      </c>
    </row>
    <row r="17" spans="1:7">
      <c r="A17" s="140"/>
      <c r="B17" s="4" t="s">
        <v>74</v>
      </c>
      <c r="C17" s="4" t="s">
        <v>74</v>
      </c>
      <c r="D17" s="4"/>
      <c r="E17" s="4" t="s">
        <v>64</v>
      </c>
      <c r="F17" s="4"/>
      <c r="G17" s="19" t="s">
        <v>75</v>
      </c>
    </row>
    <row r="18" spans="1:7">
      <c r="A18" s="140"/>
      <c r="B18" s="4" t="s">
        <v>76</v>
      </c>
      <c r="C18" s="4" t="s">
        <v>76</v>
      </c>
      <c r="D18" s="4"/>
      <c r="E18" s="4" t="s">
        <v>64</v>
      </c>
      <c r="F18" s="4"/>
      <c r="G18" s="19" t="s">
        <v>77</v>
      </c>
    </row>
    <row r="19" spans="1:7">
      <c r="A19" s="139" t="s">
        <v>78</v>
      </c>
      <c r="B19" s="4" t="s">
        <v>79</v>
      </c>
      <c r="C19" s="4" t="s">
        <v>12</v>
      </c>
      <c r="D19" s="4" t="s">
        <v>80</v>
      </c>
      <c r="E19" s="4" t="s">
        <v>461</v>
      </c>
      <c r="F19" s="4">
        <v>2</v>
      </c>
      <c r="G19" s="4"/>
    </row>
    <row r="20" spans="1:7">
      <c r="A20" s="140"/>
      <c r="B20" s="4" t="s">
        <v>81</v>
      </c>
      <c r="C20" s="4" t="s">
        <v>12</v>
      </c>
      <c r="D20" s="4" t="s">
        <v>80</v>
      </c>
      <c r="E20" s="4" t="s">
        <v>461</v>
      </c>
      <c r="F20" s="4">
        <v>2</v>
      </c>
      <c r="G20" s="4"/>
    </row>
    <row r="21" spans="1:7">
      <c r="A21" s="140"/>
      <c r="B21" s="4" t="s">
        <v>82</v>
      </c>
      <c r="C21" s="4" t="s">
        <v>12</v>
      </c>
      <c r="D21" s="4" t="s">
        <v>80</v>
      </c>
      <c r="E21" s="4" t="s">
        <v>461</v>
      </c>
      <c r="F21" s="4">
        <v>2</v>
      </c>
      <c r="G21" s="4"/>
    </row>
    <row r="22" spans="1:7">
      <c r="A22" s="140"/>
      <c r="B22" s="4" t="s">
        <v>83</v>
      </c>
      <c r="C22" s="4" t="s">
        <v>12</v>
      </c>
      <c r="D22" s="4" t="s">
        <v>80</v>
      </c>
      <c r="E22" s="4" t="s">
        <v>461</v>
      </c>
      <c r="F22" s="4">
        <v>2</v>
      </c>
      <c r="G22" s="4"/>
    </row>
    <row r="23" spans="1:7">
      <c r="A23" s="140"/>
      <c r="B23" s="4" t="s">
        <v>84</v>
      </c>
      <c r="C23" s="4" t="s">
        <v>12</v>
      </c>
      <c r="D23" s="4" t="s">
        <v>80</v>
      </c>
      <c r="E23" s="4" t="s">
        <v>461</v>
      </c>
      <c r="F23" s="4">
        <v>2</v>
      </c>
      <c r="G23" s="4"/>
    </row>
    <row r="24" spans="1:7">
      <c r="A24" s="140"/>
      <c r="B24" s="4" t="s">
        <v>85</v>
      </c>
      <c r="C24" s="4" t="s">
        <v>12</v>
      </c>
      <c r="D24" s="4" t="s">
        <v>80</v>
      </c>
      <c r="E24" s="4" t="s">
        <v>461</v>
      </c>
      <c r="F24" s="4">
        <v>2</v>
      </c>
      <c r="G24" s="4"/>
    </row>
    <row r="25" spans="1:7">
      <c r="A25" s="139" t="s">
        <v>86</v>
      </c>
      <c r="B25" s="4" t="s">
        <v>87</v>
      </c>
      <c r="C25" s="4" t="s">
        <v>9</v>
      </c>
      <c r="D25" s="4" t="s">
        <v>88</v>
      </c>
      <c r="E25" s="4" t="s">
        <v>462</v>
      </c>
      <c r="F25" s="4"/>
      <c r="G25" s="4"/>
    </row>
    <row r="26" spans="1:7">
      <c r="A26" s="140"/>
      <c r="B26" s="4" t="s">
        <v>89</v>
      </c>
      <c r="C26" s="4" t="s">
        <v>9</v>
      </c>
      <c r="D26" s="4" t="s">
        <v>88</v>
      </c>
      <c r="E26" s="4" t="s">
        <v>462</v>
      </c>
      <c r="F26" s="4"/>
      <c r="G26" s="4"/>
    </row>
    <row r="27" spans="1:7">
      <c r="A27" s="140"/>
      <c r="B27" s="4" t="s">
        <v>90</v>
      </c>
      <c r="C27" s="4" t="s">
        <v>9</v>
      </c>
      <c r="D27" s="4" t="s">
        <v>88</v>
      </c>
      <c r="E27" s="4" t="s">
        <v>462</v>
      </c>
      <c r="F27" s="4"/>
      <c r="G27" s="4"/>
    </row>
    <row r="28" spans="1:7">
      <c r="A28" s="140"/>
      <c r="B28" s="4" t="s">
        <v>91</v>
      </c>
      <c r="C28" s="4" t="s">
        <v>9</v>
      </c>
      <c r="D28" s="4" t="s">
        <v>88</v>
      </c>
      <c r="E28" s="4" t="s">
        <v>462</v>
      </c>
      <c r="F28" s="4"/>
      <c r="G28" s="4"/>
    </row>
    <row r="29" spans="1:7">
      <c r="A29" s="140"/>
      <c r="B29" s="4" t="s">
        <v>92</v>
      </c>
      <c r="C29" s="4" t="s">
        <v>9</v>
      </c>
      <c r="D29" s="4" t="s">
        <v>88</v>
      </c>
      <c r="E29" s="4" t="s">
        <v>462</v>
      </c>
      <c r="F29" s="4"/>
      <c r="G29" s="4"/>
    </row>
    <row r="30" spans="1:7">
      <c r="A30" s="140"/>
      <c r="B30" s="4" t="s">
        <v>93</v>
      </c>
      <c r="C30" s="4" t="s">
        <v>9</v>
      </c>
      <c r="D30" s="4" t="s">
        <v>88</v>
      </c>
      <c r="E30" s="4" t="s">
        <v>462</v>
      </c>
      <c r="F30" s="4"/>
      <c r="G30" s="4"/>
    </row>
    <row r="31" spans="1:7">
      <c r="A31" s="139" t="s">
        <v>94</v>
      </c>
      <c r="B31" s="4" t="s">
        <v>95</v>
      </c>
      <c r="C31" s="4" t="s">
        <v>14</v>
      </c>
      <c r="D31" s="4" t="s">
        <v>15</v>
      </c>
      <c r="E31" s="4" t="s">
        <v>13</v>
      </c>
      <c r="F31" s="4"/>
      <c r="G31" s="21"/>
    </row>
    <row r="32" spans="1:7">
      <c r="A32" s="140"/>
      <c r="B32" s="4" t="s">
        <v>96</v>
      </c>
      <c r="C32" s="4" t="s">
        <v>14</v>
      </c>
      <c r="D32" s="4" t="s">
        <v>15</v>
      </c>
      <c r="E32" s="4" t="s">
        <v>13</v>
      </c>
      <c r="F32" s="4"/>
      <c r="G32" s="4"/>
    </row>
    <row r="33" spans="1:7">
      <c r="A33" s="140"/>
      <c r="B33" s="4" t="s">
        <v>88</v>
      </c>
      <c r="C33" s="4" t="s">
        <v>14</v>
      </c>
      <c r="D33" s="4" t="s">
        <v>15</v>
      </c>
      <c r="E33" s="4" t="s">
        <v>13</v>
      </c>
      <c r="F33" s="4"/>
      <c r="G33" s="4"/>
    </row>
    <row r="34" spans="1:7">
      <c r="A34" s="140"/>
      <c r="B34" s="4" t="s">
        <v>97</v>
      </c>
      <c r="C34" s="4" t="s">
        <v>14</v>
      </c>
      <c r="D34" s="4" t="s">
        <v>15</v>
      </c>
      <c r="E34" s="4" t="s">
        <v>13</v>
      </c>
      <c r="F34" s="4"/>
      <c r="G34" s="4"/>
    </row>
    <row r="35" spans="1:7">
      <c r="A35" s="140"/>
      <c r="B35" s="4" t="s">
        <v>98</v>
      </c>
      <c r="C35" s="4" t="s">
        <v>14</v>
      </c>
      <c r="D35" s="4" t="s">
        <v>15</v>
      </c>
      <c r="E35" s="4" t="s">
        <v>13</v>
      </c>
      <c r="F35" s="4"/>
      <c r="G35" s="4"/>
    </row>
    <row r="36" spans="1:7">
      <c r="A36" s="140"/>
      <c r="B36" s="4" t="s">
        <v>99</v>
      </c>
      <c r="C36" s="4" t="s">
        <v>14</v>
      </c>
      <c r="D36" s="4" t="s">
        <v>15</v>
      </c>
      <c r="E36" s="4" t="s">
        <v>13</v>
      </c>
      <c r="F36" s="4"/>
      <c r="G36" s="4"/>
    </row>
    <row r="37" spans="1:7">
      <c r="A37" s="140"/>
      <c r="B37" s="4" t="s">
        <v>100</v>
      </c>
      <c r="C37" s="4" t="s">
        <v>14</v>
      </c>
      <c r="D37" s="4" t="s">
        <v>15</v>
      </c>
      <c r="E37" s="4" t="s">
        <v>13</v>
      </c>
      <c r="F37" s="4"/>
      <c r="G37" s="22"/>
    </row>
    <row r="38" spans="1:7">
      <c r="A38" s="140"/>
      <c r="B38" s="4" t="s">
        <v>101</v>
      </c>
      <c r="C38" s="4" t="s">
        <v>101</v>
      </c>
      <c r="D38" s="4"/>
      <c r="E38" s="4"/>
      <c r="F38" s="4"/>
      <c r="G38" s="4"/>
    </row>
    <row r="39" spans="1:7">
      <c r="A39" s="139" t="s">
        <v>102</v>
      </c>
      <c r="B39" s="4" t="s">
        <v>103</v>
      </c>
      <c r="C39" s="4" t="s">
        <v>104</v>
      </c>
      <c r="D39" s="4"/>
      <c r="E39" s="4"/>
      <c r="F39" s="4"/>
      <c r="G39" s="4"/>
    </row>
    <row r="40" spans="1:7">
      <c r="A40" s="140"/>
      <c r="B40" s="4" t="s">
        <v>105</v>
      </c>
      <c r="C40" s="4"/>
      <c r="D40" s="4"/>
      <c r="E40" s="4"/>
      <c r="F40" s="4"/>
      <c r="G40" s="4"/>
    </row>
    <row r="41" spans="1:7">
      <c r="A41" s="140"/>
      <c r="B41" s="4" t="s">
        <v>106</v>
      </c>
      <c r="C41" s="4" t="s">
        <v>16</v>
      </c>
      <c r="D41" s="4" t="s">
        <v>107</v>
      </c>
      <c r="E41" s="4" t="s">
        <v>28</v>
      </c>
      <c r="F41" s="4"/>
      <c r="G41" s="4"/>
    </row>
    <row r="42" spans="1:7">
      <c r="A42" s="140"/>
      <c r="B42" s="4" t="s">
        <v>108</v>
      </c>
      <c r="C42" s="4" t="s">
        <v>16</v>
      </c>
      <c r="D42" s="4" t="s">
        <v>107</v>
      </c>
      <c r="E42" s="4" t="s">
        <v>28</v>
      </c>
      <c r="F42" s="4"/>
      <c r="G42" s="4"/>
    </row>
    <row r="43" spans="1:7">
      <c r="A43" s="140"/>
      <c r="B43" s="4" t="s">
        <v>109</v>
      </c>
      <c r="C43" s="4" t="s">
        <v>16</v>
      </c>
      <c r="D43" s="4" t="s">
        <v>107</v>
      </c>
      <c r="E43" s="4" t="s">
        <v>28</v>
      </c>
      <c r="F43" s="4"/>
      <c r="G43" s="4"/>
    </row>
    <row r="44" spans="1:7">
      <c r="A44" s="140"/>
      <c r="B44" s="4" t="s">
        <v>110</v>
      </c>
      <c r="C44" s="4" t="s">
        <v>16</v>
      </c>
      <c r="D44" s="4" t="s">
        <v>107</v>
      </c>
      <c r="E44" s="4" t="s">
        <v>28</v>
      </c>
      <c r="F44" s="4"/>
      <c r="G44" s="4"/>
    </row>
    <row r="45" spans="1:7">
      <c r="A45" s="140"/>
      <c r="B45" s="4" t="s">
        <v>111</v>
      </c>
      <c r="C45" s="4" t="s">
        <v>16</v>
      </c>
      <c r="D45" s="4" t="s">
        <v>107</v>
      </c>
      <c r="E45" s="4" t="s">
        <v>28</v>
      </c>
      <c r="F45" s="4"/>
      <c r="G45" s="4"/>
    </row>
    <row r="46" spans="1:7">
      <c r="A46" s="140"/>
      <c r="B46" s="4" t="s">
        <v>112</v>
      </c>
      <c r="C46" s="6" t="s">
        <v>113</v>
      </c>
      <c r="D46" s="4"/>
      <c r="E46" s="4"/>
      <c r="F46" s="4"/>
      <c r="G46" s="4"/>
    </row>
    <row r="47" spans="1:7">
      <c r="A47" s="140"/>
      <c r="B47" s="4" t="s">
        <v>114</v>
      </c>
      <c r="C47" s="4"/>
      <c r="D47" s="4"/>
      <c r="E47" s="4"/>
      <c r="F47" s="4"/>
      <c r="G47" s="4"/>
    </row>
    <row r="48" spans="1:7">
      <c r="A48" s="140"/>
      <c r="B48" s="4" t="s">
        <v>114</v>
      </c>
      <c r="C48" s="4"/>
      <c r="D48" s="4"/>
      <c r="E48" s="4"/>
      <c r="F48" s="4"/>
      <c r="G48" s="4"/>
    </row>
    <row r="49" spans="1:7">
      <c r="A49" s="139" t="s">
        <v>115</v>
      </c>
      <c r="B49" s="4" t="s">
        <v>116</v>
      </c>
      <c r="C49" s="4" t="s">
        <v>9</v>
      </c>
      <c r="D49" s="4"/>
      <c r="E49" s="4" t="s">
        <v>117</v>
      </c>
      <c r="F49" s="4"/>
      <c r="G49" s="4"/>
    </row>
    <row r="50" spans="1:7">
      <c r="A50" s="140"/>
      <c r="B50" s="19" t="s">
        <v>118</v>
      </c>
      <c r="C50" s="4" t="s">
        <v>12</v>
      </c>
      <c r="D50" s="4"/>
      <c r="E50" s="4" t="s">
        <v>117</v>
      </c>
      <c r="F50" s="4"/>
      <c r="G50" s="4"/>
    </row>
    <row r="51" spans="1:7">
      <c r="A51" s="140"/>
      <c r="B51" s="4" t="s">
        <v>119</v>
      </c>
      <c r="C51" s="4" t="s">
        <v>9</v>
      </c>
      <c r="D51" s="4"/>
      <c r="E51" s="4" t="s">
        <v>117</v>
      </c>
      <c r="F51" s="4"/>
      <c r="G51" s="4"/>
    </row>
    <row r="52" spans="1:7">
      <c r="A52" s="140"/>
      <c r="B52" s="4" t="s">
        <v>120</v>
      </c>
      <c r="C52" s="4" t="s">
        <v>12</v>
      </c>
      <c r="D52" s="4"/>
      <c r="E52" s="4" t="s">
        <v>117</v>
      </c>
      <c r="F52" s="4"/>
      <c r="G52" s="4"/>
    </row>
    <row r="53" spans="1:7">
      <c r="A53" s="140"/>
      <c r="B53" s="4" t="s">
        <v>121</v>
      </c>
      <c r="C53" s="4" t="s">
        <v>9</v>
      </c>
      <c r="D53" s="4"/>
      <c r="E53" s="4" t="s">
        <v>117</v>
      </c>
      <c r="F53" s="4"/>
      <c r="G53" s="4"/>
    </row>
    <row r="54" spans="1:7">
      <c r="A54" s="140"/>
      <c r="B54" s="4" t="s">
        <v>122</v>
      </c>
      <c r="C54" s="4" t="s">
        <v>12</v>
      </c>
      <c r="D54" s="4"/>
      <c r="E54" s="4" t="s">
        <v>117</v>
      </c>
      <c r="F54" s="4"/>
      <c r="G54" s="4"/>
    </row>
    <row r="55" spans="1:7">
      <c r="A55" s="139" t="s">
        <v>123</v>
      </c>
      <c r="B55" s="4" t="s">
        <v>124</v>
      </c>
      <c r="C55" s="4" t="s">
        <v>12</v>
      </c>
      <c r="D55" s="4"/>
      <c r="E55" s="4" t="s">
        <v>117</v>
      </c>
      <c r="F55" s="4"/>
      <c r="G55" s="4"/>
    </row>
    <row r="56" spans="1:7">
      <c r="A56" s="140"/>
      <c r="B56" s="4" t="s">
        <v>125</v>
      </c>
      <c r="C56" s="4" t="s">
        <v>12</v>
      </c>
      <c r="D56" s="4"/>
      <c r="E56" s="4" t="s">
        <v>117</v>
      </c>
      <c r="F56" s="4"/>
      <c r="G56" s="4"/>
    </row>
    <row r="57" spans="1:7">
      <c r="A57" s="140"/>
      <c r="B57" s="19" t="s">
        <v>126</v>
      </c>
      <c r="C57" s="4" t="s">
        <v>12</v>
      </c>
      <c r="D57" s="4"/>
      <c r="E57" s="4" t="s">
        <v>117</v>
      </c>
      <c r="F57" s="4"/>
      <c r="G57" s="4"/>
    </row>
    <row r="58" spans="1:7">
      <c r="A58" s="140"/>
      <c r="B58" s="4" t="s">
        <v>127</v>
      </c>
      <c r="C58" s="4" t="s">
        <v>12</v>
      </c>
      <c r="D58" s="4"/>
      <c r="E58" s="4" t="s">
        <v>117</v>
      </c>
      <c r="F58" s="4"/>
      <c r="G58" s="4"/>
    </row>
    <row r="59" spans="1:7">
      <c r="A59" s="140"/>
      <c r="B59" s="4" t="s">
        <v>128</v>
      </c>
      <c r="C59" s="4" t="s">
        <v>12</v>
      </c>
      <c r="D59" s="4"/>
      <c r="E59" s="4" t="s">
        <v>117</v>
      </c>
      <c r="F59" s="4"/>
      <c r="G59" s="4"/>
    </row>
    <row r="60" spans="1:7">
      <c r="A60" s="140"/>
      <c r="B60" s="4" t="s">
        <v>129</v>
      </c>
      <c r="C60" s="4" t="s">
        <v>12</v>
      </c>
      <c r="D60" s="4"/>
      <c r="E60" s="4" t="s">
        <v>117</v>
      </c>
      <c r="F60" s="4"/>
      <c r="G60" s="4"/>
    </row>
    <row r="61" spans="1:7">
      <c r="A61" s="140"/>
      <c r="B61" s="4" t="s">
        <v>130</v>
      </c>
      <c r="C61" s="4" t="s">
        <v>12</v>
      </c>
      <c r="D61" s="4"/>
      <c r="E61" s="4" t="s">
        <v>117</v>
      </c>
      <c r="F61" s="4"/>
      <c r="G61" s="4"/>
    </row>
    <row r="62" spans="1:7">
      <c r="A62" s="140"/>
      <c r="B62" s="4" t="s">
        <v>131</v>
      </c>
      <c r="C62" s="4" t="s">
        <v>9</v>
      </c>
      <c r="D62" s="4"/>
      <c r="E62" s="4" t="s">
        <v>117</v>
      </c>
      <c r="F62" s="4"/>
      <c r="G62" s="4"/>
    </row>
    <row r="63" spans="1:7">
      <c r="A63" s="140"/>
      <c r="B63" s="4" t="s">
        <v>132</v>
      </c>
      <c r="C63" s="4" t="s">
        <v>9</v>
      </c>
      <c r="D63" s="4"/>
      <c r="E63" s="4" t="s">
        <v>117</v>
      </c>
      <c r="F63" s="4"/>
      <c r="G63" s="4"/>
    </row>
    <row r="64" spans="1:7">
      <c r="A64" s="140"/>
      <c r="B64" s="4" t="s">
        <v>133</v>
      </c>
      <c r="C64" s="4" t="s">
        <v>16</v>
      </c>
      <c r="D64" s="4"/>
      <c r="E64" s="4" t="s">
        <v>117</v>
      </c>
      <c r="F64" s="4"/>
      <c r="G64" s="4"/>
    </row>
    <row r="65" spans="1:7">
      <c r="A65" s="140"/>
      <c r="B65" s="4" t="s">
        <v>134</v>
      </c>
      <c r="C65" s="4" t="s">
        <v>9</v>
      </c>
      <c r="D65" s="4"/>
      <c r="E65" s="4" t="s">
        <v>117</v>
      </c>
      <c r="F65" s="4"/>
      <c r="G65" s="4"/>
    </row>
    <row r="66" spans="1:7">
      <c r="A66" s="140"/>
      <c r="B66" s="4" t="s">
        <v>135</v>
      </c>
      <c r="C66" s="4" t="s">
        <v>12</v>
      </c>
      <c r="D66" s="4"/>
      <c r="E66" s="4" t="s">
        <v>117</v>
      </c>
      <c r="F66" s="4"/>
      <c r="G66" s="4"/>
    </row>
    <row r="67" spans="1:7">
      <c r="A67" s="140"/>
      <c r="B67" s="4" t="s">
        <v>136</v>
      </c>
      <c r="C67" s="4" t="s">
        <v>9</v>
      </c>
      <c r="D67" s="4"/>
      <c r="E67" s="4" t="s">
        <v>117</v>
      </c>
      <c r="F67" s="4"/>
      <c r="G67" s="4"/>
    </row>
    <row r="68" spans="1:7">
      <c r="A68" s="140"/>
      <c r="B68" s="4" t="s">
        <v>137</v>
      </c>
      <c r="C68" s="4" t="s">
        <v>12</v>
      </c>
      <c r="D68" s="4"/>
      <c r="E68" s="4" t="s">
        <v>117</v>
      </c>
      <c r="F68" s="4"/>
      <c r="G68" s="4"/>
    </row>
    <row r="69" spans="1:7">
      <c r="A69" s="140"/>
      <c r="B69" s="4" t="s">
        <v>138</v>
      </c>
      <c r="C69" s="4" t="s">
        <v>12</v>
      </c>
      <c r="D69" s="4"/>
      <c r="E69" s="4" t="s">
        <v>117</v>
      </c>
      <c r="F69" s="4"/>
      <c r="G69" s="4"/>
    </row>
    <row r="70" spans="1:7">
      <c r="A70" s="140"/>
      <c r="B70" s="4" t="s">
        <v>139</v>
      </c>
      <c r="C70" s="4" t="s">
        <v>12</v>
      </c>
      <c r="D70" s="4"/>
      <c r="E70" s="4" t="s">
        <v>117</v>
      </c>
      <c r="F70" s="4"/>
      <c r="G70" s="4"/>
    </row>
    <row r="71" spans="1:7">
      <c r="A71" s="140"/>
      <c r="B71" s="4" t="s">
        <v>140</v>
      </c>
      <c r="C71" s="4" t="s">
        <v>9</v>
      </c>
      <c r="D71" s="4"/>
      <c r="E71" s="4" t="s">
        <v>117</v>
      </c>
      <c r="F71" s="4"/>
      <c r="G71" s="4"/>
    </row>
    <row r="72" spans="1:7">
      <c r="A72" s="140"/>
      <c r="B72" s="4" t="s">
        <v>141</v>
      </c>
      <c r="C72" s="4" t="s">
        <v>12</v>
      </c>
      <c r="D72" s="4"/>
      <c r="E72" s="4" t="s">
        <v>117</v>
      </c>
      <c r="F72" s="4"/>
      <c r="G72" s="4"/>
    </row>
  </sheetData>
  <mergeCells count="7">
    <mergeCell ref="A49:A54"/>
    <mergeCell ref="A55:A72"/>
    <mergeCell ref="A2:A18"/>
    <mergeCell ref="A19:A24"/>
    <mergeCell ref="A25:A30"/>
    <mergeCell ref="A31:A38"/>
    <mergeCell ref="A39:A48"/>
  </mergeCells>
  <phoneticPr fontId="2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产品价格表"/>
  <dimension ref="A1:K73"/>
  <sheetViews>
    <sheetView workbookViewId="0">
      <pane ySplit="1" topLeftCell="A2" activePane="bottomLeft" state="frozen"/>
      <selection pane="bottomLeft"/>
    </sheetView>
  </sheetViews>
  <sheetFormatPr defaultColWidth="13.7109375" defaultRowHeight="18" customHeight="1"/>
  <cols>
    <col min="1" max="1" width="9.7109375" style="136" customWidth="1"/>
    <col min="2" max="2" width="54.7109375" customWidth="1"/>
    <col min="3" max="3" width="33.140625" customWidth="1"/>
    <col min="4" max="4" width="46.42578125" customWidth="1"/>
    <col min="5" max="5" width="50.140625" customWidth="1"/>
    <col min="6" max="6" width="19.42578125" customWidth="1"/>
    <col min="7" max="7" width="43.5703125" customWidth="1"/>
    <col min="8" max="8" width="22.42578125" customWidth="1"/>
    <col min="9" max="9" width="43.140625" customWidth="1"/>
  </cols>
  <sheetData>
    <row r="1" spans="1:11" ht="28.5">
      <c r="A1" s="1" t="s">
        <v>43</v>
      </c>
      <c r="B1" s="44" t="s">
        <v>44</v>
      </c>
      <c r="C1" s="45" t="s">
        <v>246</v>
      </c>
      <c r="D1" s="46" t="s">
        <v>247</v>
      </c>
      <c r="E1" s="45" t="s">
        <v>248</v>
      </c>
      <c r="F1" s="16" t="s">
        <v>249</v>
      </c>
      <c r="G1" s="47" t="s">
        <v>250</v>
      </c>
      <c r="H1" s="48" t="s">
        <v>1</v>
      </c>
      <c r="I1" s="45" t="s">
        <v>48</v>
      </c>
      <c r="J1" s="45" t="s">
        <v>251</v>
      </c>
      <c r="K1" s="45" t="s">
        <v>36</v>
      </c>
    </row>
    <row r="2" spans="1:11" ht="30" customHeight="1">
      <c r="A2" s="147" t="s">
        <v>49</v>
      </c>
      <c r="B2" s="49" t="s">
        <v>252</v>
      </c>
      <c r="C2" s="6" t="s">
        <v>9</v>
      </c>
      <c r="D2" s="50" t="s">
        <v>253</v>
      </c>
      <c r="E2" s="4" t="s">
        <v>254</v>
      </c>
      <c r="F2" s="4"/>
      <c r="G2" s="4"/>
      <c r="H2" s="4" t="s">
        <v>212</v>
      </c>
      <c r="I2" s="4" t="s">
        <v>255</v>
      </c>
      <c r="J2" s="4"/>
      <c r="K2" s="4" t="s">
        <v>212</v>
      </c>
    </row>
    <row r="3" spans="1:11" ht="30" customHeight="1">
      <c r="A3" s="142"/>
      <c r="B3" s="49" t="s">
        <v>256</v>
      </c>
      <c r="C3" s="6" t="s">
        <v>12</v>
      </c>
      <c r="D3" s="51" t="s">
        <v>257</v>
      </c>
      <c r="E3" s="4" t="s">
        <v>258</v>
      </c>
      <c r="F3" s="4"/>
      <c r="G3" s="4"/>
      <c r="H3" s="4" t="s">
        <v>212</v>
      </c>
      <c r="I3" s="52" t="s">
        <v>255</v>
      </c>
      <c r="J3" s="52"/>
      <c r="K3" s="4" t="s">
        <v>212</v>
      </c>
    </row>
    <row r="4" spans="1:11" ht="32.25" customHeight="1">
      <c r="A4" s="142"/>
      <c r="B4" s="53" t="s">
        <v>259</v>
      </c>
      <c r="C4" s="4" t="s">
        <v>18</v>
      </c>
      <c r="D4" s="51" t="s">
        <v>260</v>
      </c>
      <c r="E4" s="4" t="s">
        <v>261</v>
      </c>
      <c r="F4" s="4"/>
      <c r="G4" s="4"/>
      <c r="H4" s="4" t="s">
        <v>212</v>
      </c>
      <c r="I4" s="52" t="s">
        <v>255</v>
      </c>
      <c r="J4" s="52"/>
      <c r="K4" s="4" t="s">
        <v>212</v>
      </c>
    </row>
    <row r="5" spans="1:11" ht="51.75" customHeight="1">
      <c r="A5" s="142"/>
      <c r="B5" s="54" t="s">
        <v>262</v>
      </c>
      <c r="C5" s="4" t="s">
        <v>57</v>
      </c>
      <c r="D5" s="55" t="s">
        <v>263</v>
      </c>
      <c r="E5" s="4" t="s">
        <v>264</v>
      </c>
      <c r="F5" s="4"/>
      <c r="G5" s="4"/>
      <c r="H5" s="4" t="s">
        <v>212</v>
      </c>
      <c r="I5" s="52" t="s">
        <v>255</v>
      </c>
      <c r="J5" s="52"/>
      <c r="K5" s="4" t="s">
        <v>212</v>
      </c>
    </row>
    <row r="6" spans="1:11" ht="64.5" customHeight="1">
      <c r="A6" s="142"/>
      <c r="B6" s="49" t="s">
        <v>265</v>
      </c>
      <c r="C6" s="4" t="s">
        <v>59</v>
      </c>
      <c r="D6" s="55" t="s">
        <v>266</v>
      </c>
      <c r="E6" s="4" t="s">
        <v>267</v>
      </c>
      <c r="F6" s="4"/>
      <c r="G6" s="4"/>
      <c r="H6" s="4" t="s">
        <v>212</v>
      </c>
      <c r="I6" s="52" t="s">
        <v>255</v>
      </c>
      <c r="J6" s="52"/>
      <c r="K6" s="4" t="s">
        <v>212</v>
      </c>
    </row>
    <row r="7" spans="1:11" ht="38.25" customHeight="1">
      <c r="A7" s="142"/>
      <c r="B7" s="49" t="s">
        <v>268</v>
      </c>
      <c r="C7" s="4" t="s">
        <v>61</v>
      </c>
      <c r="D7" s="55" t="s">
        <v>269</v>
      </c>
      <c r="E7" s="4" t="s">
        <v>270</v>
      </c>
      <c r="F7" s="4"/>
      <c r="G7" s="4"/>
      <c r="H7" s="4" t="s">
        <v>212</v>
      </c>
      <c r="I7" s="52" t="s">
        <v>255</v>
      </c>
      <c r="J7" s="52"/>
      <c r="K7" s="4" t="s">
        <v>212</v>
      </c>
    </row>
    <row r="8" spans="1:11" ht="30" customHeight="1">
      <c r="A8" s="142"/>
      <c r="B8" s="56" t="s">
        <v>271</v>
      </c>
      <c r="C8" s="4" t="s">
        <v>14</v>
      </c>
      <c r="D8" s="51" t="s">
        <v>272</v>
      </c>
      <c r="E8" s="4" t="s">
        <v>273</v>
      </c>
      <c r="F8" s="4"/>
      <c r="G8" s="4"/>
      <c r="H8" s="4" t="s">
        <v>212</v>
      </c>
      <c r="I8" s="52" t="s">
        <v>255</v>
      </c>
      <c r="J8" s="52"/>
      <c r="K8" s="4" t="s">
        <v>212</v>
      </c>
    </row>
    <row r="9" spans="1:11" ht="30" customHeight="1">
      <c r="A9" s="142"/>
      <c r="B9" s="56" t="s">
        <v>274</v>
      </c>
      <c r="C9" s="4" t="s">
        <v>15</v>
      </c>
      <c r="D9" s="51" t="s">
        <v>275</v>
      </c>
      <c r="E9" s="4" t="s">
        <v>276</v>
      </c>
      <c r="F9" s="4"/>
      <c r="G9" s="4"/>
      <c r="H9" s="4" t="s">
        <v>212</v>
      </c>
      <c r="I9" s="52" t="s">
        <v>255</v>
      </c>
      <c r="J9" s="52"/>
      <c r="K9" s="4" t="s">
        <v>212</v>
      </c>
    </row>
    <row r="10" spans="1:11" ht="30" customHeight="1">
      <c r="A10" s="142"/>
      <c r="B10" s="56" t="s">
        <v>277</v>
      </c>
      <c r="C10" s="4" t="s">
        <v>16</v>
      </c>
      <c r="D10" s="51" t="s">
        <v>278</v>
      </c>
      <c r="E10" s="4" t="s">
        <v>279</v>
      </c>
      <c r="F10" s="4"/>
      <c r="G10" s="4"/>
      <c r="H10" s="4" t="s">
        <v>212</v>
      </c>
      <c r="I10" s="52" t="s">
        <v>255</v>
      </c>
      <c r="J10" s="52"/>
      <c r="K10" s="4" t="s">
        <v>212</v>
      </c>
    </row>
    <row r="11" spans="1:11" ht="30" customHeight="1">
      <c r="A11" s="142"/>
      <c r="B11" s="56" t="s">
        <v>280</v>
      </c>
      <c r="C11" s="4" t="s">
        <v>17</v>
      </c>
      <c r="D11" s="51" t="s">
        <v>281</v>
      </c>
      <c r="E11" s="4" t="s">
        <v>282</v>
      </c>
      <c r="F11" s="4"/>
      <c r="G11" s="4"/>
      <c r="H11" s="4" t="s">
        <v>212</v>
      </c>
      <c r="I11" s="52" t="s">
        <v>255</v>
      </c>
      <c r="J11" s="52"/>
      <c r="K11" s="4" t="s">
        <v>212</v>
      </c>
    </row>
    <row r="12" spans="1:11" ht="30" customHeight="1">
      <c r="A12" s="142"/>
      <c r="B12" s="57" t="s">
        <v>283</v>
      </c>
      <c r="C12" s="4" t="s">
        <v>63</v>
      </c>
      <c r="D12" s="58" t="s">
        <v>284</v>
      </c>
      <c r="E12" s="4" t="s">
        <v>285</v>
      </c>
      <c r="F12" s="4"/>
      <c r="G12" s="4"/>
      <c r="H12" s="4" t="s">
        <v>212</v>
      </c>
      <c r="I12" s="52" t="s">
        <v>255</v>
      </c>
      <c r="J12" s="52"/>
      <c r="K12" s="4" t="s">
        <v>212</v>
      </c>
    </row>
    <row r="13" spans="1:11" ht="30" customHeight="1">
      <c r="A13" s="142"/>
      <c r="B13" s="57" t="s">
        <v>286</v>
      </c>
      <c r="C13" s="4" t="s">
        <v>66</v>
      </c>
      <c r="D13" s="58" t="s">
        <v>284</v>
      </c>
      <c r="E13" s="4" t="s">
        <v>287</v>
      </c>
      <c r="F13" s="4"/>
      <c r="G13" s="4"/>
      <c r="H13" s="4" t="s">
        <v>212</v>
      </c>
      <c r="I13" s="52" t="s">
        <v>255</v>
      </c>
      <c r="J13" s="52"/>
      <c r="K13" s="4" t="s">
        <v>212</v>
      </c>
    </row>
    <row r="14" spans="1:11" ht="30" customHeight="1">
      <c r="A14" s="142"/>
      <c r="B14" s="57" t="s">
        <v>288</v>
      </c>
      <c r="C14" s="4" t="s">
        <v>68</v>
      </c>
      <c r="D14" s="58" t="s">
        <v>289</v>
      </c>
      <c r="E14" s="4" t="s">
        <v>290</v>
      </c>
      <c r="F14" s="4"/>
      <c r="G14" s="4"/>
      <c r="H14" s="4" t="s">
        <v>212</v>
      </c>
      <c r="I14" s="52" t="s">
        <v>255</v>
      </c>
      <c r="J14" s="52"/>
      <c r="K14" s="4" t="s">
        <v>212</v>
      </c>
    </row>
    <row r="15" spans="1:11" ht="30" customHeight="1">
      <c r="A15" s="142"/>
      <c r="B15" s="57" t="s">
        <v>291</v>
      </c>
      <c r="C15" s="4" t="s">
        <v>70</v>
      </c>
      <c r="D15" s="58" t="s">
        <v>292</v>
      </c>
      <c r="E15" s="4" t="s">
        <v>293</v>
      </c>
      <c r="F15" s="4"/>
      <c r="G15" s="4"/>
      <c r="H15" s="4" t="s">
        <v>212</v>
      </c>
      <c r="I15" s="52" t="s">
        <v>255</v>
      </c>
      <c r="J15" s="52"/>
      <c r="K15" s="4" t="s">
        <v>212</v>
      </c>
    </row>
    <row r="16" spans="1:11" ht="30" customHeight="1">
      <c r="A16" s="142"/>
      <c r="B16" s="57" t="s">
        <v>294</v>
      </c>
      <c r="C16" s="4" t="s">
        <v>74</v>
      </c>
      <c r="D16" s="58" t="s">
        <v>295</v>
      </c>
      <c r="E16" s="4" t="s">
        <v>296</v>
      </c>
      <c r="F16" s="4"/>
      <c r="G16" s="4"/>
      <c r="H16" s="4" t="s">
        <v>212</v>
      </c>
      <c r="I16" s="52" t="s">
        <v>255</v>
      </c>
      <c r="J16" s="52"/>
      <c r="K16" s="4" t="s">
        <v>212</v>
      </c>
    </row>
    <row r="17" spans="1:11" ht="30" customHeight="1">
      <c r="A17" s="142"/>
      <c r="B17" s="57" t="s">
        <v>297</v>
      </c>
      <c r="C17" s="4" t="s">
        <v>76</v>
      </c>
      <c r="D17" s="58" t="s">
        <v>295</v>
      </c>
      <c r="E17" s="4" t="s">
        <v>298</v>
      </c>
      <c r="F17" s="4"/>
      <c r="G17" s="4"/>
      <c r="H17" s="4" t="s">
        <v>212</v>
      </c>
      <c r="I17" s="52" t="s">
        <v>255</v>
      </c>
      <c r="J17" s="52"/>
      <c r="K17" s="4" t="s">
        <v>212</v>
      </c>
    </row>
    <row r="18" spans="1:11" ht="14.25">
      <c r="A18" s="148"/>
      <c r="B18" s="57" t="s">
        <v>299</v>
      </c>
      <c r="C18" s="4" t="s">
        <v>300</v>
      </c>
      <c r="D18" s="58" t="s">
        <v>295</v>
      </c>
      <c r="E18" s="4" t="s">
        <v>301</v>
      </c>
      <c r="F18" s="4"/>
      <c r="G18" s="4"/>
      <c r="H18" s="4" t="s">
        <v>212</v>
      </c>
      <c r="I18" s="52" t="s">
        <v>255</v>
      </c>
      <c r="J18" s="52"/>
      <c r="K18" s="4" t="s">
        <v>212</v>
      </c>
    </row>
    <row r="19" spans="1:11" ht="25.5">
      <c r="A19" s="145" t="s">
        <v>78</v>
      </c>
      <c r="B19" s="59" t="s">
        <v>79</v>
      </c>
      <c r="C19" s="4" t="s">
        <v>79</v>
      </c>
      <c r="D19" s="60" t="s">
        <v>302</v>
      </c>
      <c r="E19" s="4" t="s">
        <v>12</v>
      </c>
      <c r="F19" s="4" t="s">
        <v>303</v>
      </c>
      <c r="G19" s="61" t="s">
        <v>304</v>
      </c>
      <c r="H19" s="62" t="s">
        <v>11</v>
      </c>
      <c r="I19" s="4" t="s">
        <v>305</v>
      </c>
      <c r="J19" s="4"/>
      <c r="K19" s="4" t="s">
        <v>23</v>
      </c>
    </row>
    <row r="20" spans="1:11" ht="25.5">
      <c r="A20" s="140"/>
      <c r="B20" s="59" t="s">
        <v>81</v>
      </c>
      <c r="C20" s="4" t="s">
        <v>81</v>
      </c>
      <c r="D20" s="60" t="s">
        <v>306</v>
      </c>
      <c r="E20" s="4" t="s">
        <v>12</v>
      </c>
      <c r="F20" s="4" t="s">
        <v>303</v>
      </c>
      <c r="G20" s="61" t="s">
        <v>304</v>
      </c>
      <c r="H20" s="62" t="s">
        <v>11</v>
      </c>
      <c r="I20" s="52" t="s">
        <v>305</v>
      </c>
      <c r="J20" s="52"/>
      <c r="K20" s="4" t="s">
        <v>23</v>
      </c>
    </row>
    <row r="21" spans="1:11" ht="25.5">
      <c r="A21" s="140"/>
      <c r="B21" s="59" t="s">
        <v>82</v>
      </c>
      <c r="C21" s="4" t="s">
        <v>82</v>
      </c>
      <c r="D21" s="60" t="s">
        <v>307</v>
      </c>
      <c r="E21" s="4" t="s">
        <v>12</v>
      </c>
      <c r="F21" s="4" t="s">
        <v>303</v>
      </c>
      <c r="G21" s="61" t="s">
        <v>304</v>
      </c>
      <c r="H21" s="62" t="s">
        <v>11</v>
      </c>
      <c r="I21" s="52" t="s">
        <v>305</v>
      </c>
      <c r="J21" s="52"/>
      <c r="K21" s="4" t="s">
        <v>23</v>
      </c>
    </row>
    <row r="22" spans="1:11" ht="25.5">
      <c r="A22" s="140"/>
      <c r="B22" s="59" t="s">
        <v>83</v>
      </c>
      <c r="C22" s="4" t="s">
        <v>83</v>
      </c>
      <c r="D22" s="60" t="s">
        <v>308</v>
      </c>
      <c r="E22" s="4" t="s">
        <v>12</v>
      </c>
      <c r="F22" s="4" t="s">
        <v>309</v>
      </c>
      <c r="G22" s="61" t="s">
        <v>304</v>
      </c>
      <c r="H22" s="62" t="s">
        <v>11</v>
      </c>
      <c r="I22" s="52" t="s">
        <v>305</v>
      </c>
      <c r="J22" s="52"/>
      <c r="K22" s="4" t="s">
        <v>23</v>
      </c>
    </row>
    <row r="23" spans="1:11" ht="25.5">
      <c r="A23" s="140"/>
      <c r="B23" s="59" t="s">
        <v>84</v>
      </c>
      <c r="C23" s="4" t="s">
        <v>84</v>
      </c>
      <c r="D23" s="60" t="s">
        <v>310</v>
      </c>
      <c r="E23" s="4" t="s">
        <v>12</v>
      </c>
      <c r="F23" s="4" t="s">
        <v>303</v>
      </c>
      <c r="G23" s="61" t="s">
        <v>304</v>
      </c>
      <c r="H23" s="62" t="s">
        <v>11</v>
      </c>
      <c r="I23" s="52" t="s">
        <v>305</v>
      </c>
      <c r="J23" s="52"/>
      <c r="K23" s="4" t="s">
        <v>23</v>
      </c>
    </row>
    <row r="24" spans="1:11" ht="25.5">
      <c r="A24" s="140"/>
      <c r="B24" s="59" t="s">
        <v>85</v>
      </c>
      <c r="C24" s="4" t="s">
        <v>85</v>
      </c>
      <c r="D24" s="60" t="s">
        <v>311</v>
      </c>
      <c r="E24" s="4" t="s">
        <v>12</v>
      </c>
      <c r="F24" s="4" t="s">
        <v>303</v>
      </c>
      <c r="G24" s="61" t="s">
        <v>304</v>
      </c>
      <c r="H24" s="62" t="s">
        <v>11</v>
      </c>
      <c r="I24" s="52" t="s">
        <v>305</v>
      </c>
      <c r="J24" s="52"/>
      <c r="K24" s="4" t="s">
        <v>23</v>
      </c>
    </row>
    <row r="25" spans="1:11" ht="14.25">
      <c r="A25" s="146" t="s">
        <v>86</v>
      </c>
      <c r="B25" s="63" t="s">
        <v>87</v>
      </c>
      <c r="C25" s="4" t="s">
        <v>87</v>
      </c>
      <c r="D25" s="64" t="s">
        <v>312</v>
      </c>
      <c r="E25" s="4" t="s">
        <v>9</v>
      </c>
      <c r="F25" s="4"/>
      <c r="G25" s="61" t="s">
        <v>313</v>
      </c>
      <c r="H25" s="62" t="s">
        <v>8</v>
      </c>
      <c r="I25" s="4" t="s">
        <v>314</v>
      </c>
      <c r="J25" s="4"/>
      <c r="K25" s="4" t="s">
        <v>23</v>
      </c>
    </row>
    <row r="26" spans="1:11" ht="14.25">
      <c r="A26" s="140"/>
      <c r="B26" s="63" t="s">
        <v>89</v>
      </c>
      <c r="C26" s="4" t="s">
        <v>89</v>
      </c>
      <c r="D26" s="64" t="s">
        <v>315</v>
      </c>
      <c r="E26" s="4" t="s">
        <v>9</v>
      </c>
      <c r="F26" s="4"/>
      <c r="G26" s="61" t="s">
        <v>313</v>
      </c>
      <c r="H26" s="62" t="s">
        <v>8</v>
      </c>
      <c r="I26" s="52" t="s">
        <v>314</v>
      </c>
      <c r="J26" s="52"/>
      <c r="K26" s="4" t="s">
        <v>23</v>
      </c>
    </row>
    <row r="27" spans="1:11" ht="14.25">
      <c r="A27" s="140"/>
      <c r="B27" s="63" t="s">
        <v>90</v>
      </c>
      <c r="C27" s="4" t="s">
        <v>90</v>
      </c>
      <c r="D27" s="64" t="s">
        <v>316</v>
      </c>
      <c r="E27" s="4" t="s">
        <v>9</v>
      </c>
      <c r="F27" s="4"/>
      <c r="G27" s="61" t="s">
        <v>313</v>
      </c>
      <c r="H27" s="62" t="s">
        <v>8</v>
      </c>
      <c r="I27" s="52" t="s">
        <v>314</v>
      </c>
      <c r="J27" s="52"/>
      <c r="K27" s="4" t="s">
        <v>23</v>
      </c>
    </row>
    <row r="28" spans="1:11" ht="14.25">
      <c r="A28" s="140"/>
      <c r="B28" s="63" t="s">
        <v>91</v>
      </c>
      <c r="C28" s="4" t="s">
        <v>91</v>
      </c>
      <c r="D28" s="64" t="s">
        <v>317</v>
      </c>
      <c r="E28" s="4" t="s">
        <v>9</v>
      </c>
      <c r="F28" s="4"/>
      <c r="G28" s="61" t="s">
        <v>313</v>
      </c>
      <c r="H28" s="62" t="s">
        <v>8</v>
      </c>
      <c r="I28" s="52" t="s">
        <v>314</v>
      </c>
      <c r="J28" s="52"/>
      <c r="K28" s="4" t="s">
        <v>23</v>
      </c>
    </row>
    <row r="29" spans="1:11" ht="14.25">
      <c r="A29" s="140"/>
      <c r="B29" s="63" t="s">
        <v>92</v>
      </c>
      <c r="C29" s="4" t="s">
        <v>92</v>
      </c>
      <c r="D29" s="64" t="s">
        <v>318</v>
      </c>
      <c r="E29" s="4" t="s">
        <v>9</v>
      </c>
      <c r="F29" s="4"/>
      <c r="G29" s="61" t="s">
        <v>313</v>
      </c>
      <c r="H29" s="62" t="s">
        <v>8</v>
      </c>
      <c r="I29" s="52" t="s">
        <v>314</v>
      </c>
      <c r="J29" s="52"/>
      <c r="K29" s="4" t="s">
        <v>23</v>
      </c>
    </row>
    <row r="30" spans="1:11" ht="14.25">
      <c r="A30" s="140"/>
      <c r="B30" s="63" t="s">
        <v>93</v>
      </c>
      <c r="C30" s="4" t="s">
        <v>93</v>
      </c>
      <c r="D30" s="64" t="s">
        <v>319</v>
      </c>
      <c r="E30" s="4" t="s">
        <v>9</v>
      </c>
      <c r="F30" s="4"/>
      <c r="G30" s="61" t="s">
        <v>313</v>
      </c>
      <c r="H30" s="62" t="s">
        <v>8</v>
      </c>
      <c r="I30" s="52" t="s">
        <v>314</v>
      </c>
      <c r="J30" s="52"/>
      <c r="K30" s="4" t="s">
        <v>23</v>
      </c>
    </row>
    <row r="31" spans="1:11" ht="14.25">
      <c r="A31" s="139" t="s">
        <v>94</v>
      </c>
      <c r="B31" s="4"/>
      <c r="C31" s="4" t="s">
        <v>95</v>
      </c>
      <c r="D31" s="64" t="s">
        <v>320</v>
      </c>
      <c r="E31" s="4" t="s">
        <v>321</v>
      </c>
      <c r="F31" s="4"/>
      <c r="G31" s="4"/>
      <c r="H31" s="4" t="s">
        <v>13</v>
      </c>
      <c r="I31" s="4" t="s">
        <v>322</v>
      </c>
      <c r="J31" s="4"/>
      <c r="K31" s="4" t="s">
        <v>23</v>
      </c>
    </row>
    <row r="32" spans="1:11" ht="14.25">
      <c r="A32" s="140"/>
      <c r="B32" s="4"/>
      <c r="C32" s="4" t="s">
        <v>96</v>
      </c>
      <c r="D32" s="64" t="s">
        <v>320</v>
      </c>
      <c r="E32" s="4" t="s">
        <v>321</v>
      </c>
      <c r="F32" s="4"/>
      <c r="G32" s="4"/>
      <c r="H32" s="4" t="s">
        <v>13</v>
      </c>
      <c r="I32" s="52" t="s">
        <v>322</v>
      </c>
      <c r="J32" s="52"/>
      <c r="K32" s="4" t="s">
        <v>23</v>
      </c>
    </row>
    <row r="33" spans="1:11" ht="14.25">
      <c r="A33" s="140"/>
      <c r="B33" s="4"/>
      <c r="C33" s="4" t="s">
        <v>88</v>
      </c>
      <c r="D33" s="64" t="s">
        <v>320</v>
      </c>
      <c r="E33" s="4" t="s">
        <v>321</v>
      </c>
      <c r="F33" s="4"/>
      <c r="G33" s="4"/>
      <c r="H33" s="4" t="s">
        <v>13</v>
      </c>
      <c r="I33" s="52" t="s">
        <v>322</v>
      </c>
      <c r="J33" s="52"/>
      <c r="K33" s="4" t="s">
        <v>23</v>
      </c>
    </row>
    <row r="34" spans="1:11" ht="14.25">
      <c r="A34" s="140"/>
      <c r="B34" s="4"/>
      <c r="C34" s="4" t="s">
        <v>97</v>
      </c>
      <c r="D34" s="64" t="s">
        <v>320</v>
      </c>
      <c r="E34" s="4" t="s">
        <v>321</v>
      </c>
      <c r="F34" s="4"/>
      <c r="G34" s="4"/>
      <c r="H34" s="4" t="s">
        <v>13</v>
      </c>
      <c r="I34" s="52" t="s">
        <v>322</v>
      </c>
      <c r="J34" s="52"/>
      <c r="K34" s="4" t="s">
        <v>23</v>
      </c>
    </row>
    <row r="35" spans="1:11" ht="14.25">
      <c r="A35" s="140"/>
      <c r="B35" s="4"/>
      <c r="C35" s="4" t="s">
        <v>98</v>
      </c>
      <c r="D35" s="64" t="s">
        <v>320</v>
      </c>
      <c r="E35" s="4" t="s">
        <v>321</v>
      </c>
      <c r="F35" s="4"/>
      <c r="G35" s="4"/>
      <c r="H35" s="4" t="s">
        <v>13</v>
      </c>
      <c r="I35" s="52" t="s">
        <v>322</v>
      </c>
      <c r="J35" s="52"/>
      <c r="K35" s="4" t="s">
        <v>23</v>
      </c>
    </row>
    <row r="36" spans="1:11" ht="14.25">
      <c r="A36" s="140"/>
      <c r="B36" s="4"/>
      <c r="C36" s="65" t="s">
        <v>99</v>
      </c>
      <c r="D36" s="64" t="s">
        <v>320</v>
      </c>
      <c r="E36" s="4" t="s">
        <v>321</v>
      </c>
      <c r="F36" s="4"/>
      <c r="G36" s="4"/>
      <c r="H36" s="4" t="s">
        <v>13</v>
      </c>
      <c r="I36" s="52" t="s">
        <v>322</v>
      </c>
      <c r="J36" s="52"/>
      <c r="K36" s="4" t="s">
        <v>23</v>
      </c>
    </row>
    <row r="37" spans="1:11" ht="14.25">
      <c r="A37" s="140"/>
      <c r="B37" s="4"/>
      <c r="C37" s="4" t="s">
        <v>100</v>
      </c>
      <c r="D37" s="64" t="s">
        <v>320</v>
      </c>
      <c r="E37" s="4" t="s">
        <v>321</v>
      </c>
      <c r="F37" s="4"/>
      <c r="G37" s="4"/>
      <c r="H37" s="4" t="s">
        <v>13</v>
      </c>
      <c r="I37" s="52" t="s">
        <v>322</v>
      </c>
      <c r="J37" s="52"/>
      <c r="K37" s="4" t="s">
        <v>23</v>
      </c>
    </row>
    <row r="38" spans="1:11" ht="14.25">
      <c r="A38" s="140"/>
      <c r="B38" s="4"/>
      <c r="C38" s="4" t="s">
        <v>101</v>
      </c>
      <c r="D38" s="64" t="s">
        <v>320</v>
      </c>
      <c r="E38" s="4" t="s">
        <v>323</v>
      </c>
      <c r="F38" s="4"/>
      <c r="G38" s="4"/>
      <c r="H38" s="4" t="s">
        <v>13</v>
      </c>
      <c r="I38" s="52" t="s">
        <v>324</v>
      </c>
      <c r="J38" s="4"/>
      <c r="K38" s="4" t="s">
        <v>23</v>
      </c>
    </row>
    <row r="39" spans="1:11" ht="14.25">
      <c r="A39" s="139" t="s">
        <v>115</v>
      </c>
      <c r="B39" s="4"/>
      <c r="C39" s="4" t="s">
        <v>116</v>
      </c>
      <c r="D39" s="58" t="s">
        <v>325</v>
      </c>
      <c r="E39" s="4" t="s">
        <v>9</v>
      </c>
      <c r="F39" s="4"/>
      <c r="G39" s="4" t="s">
        <v>326</v>
      </c>
      <c r="H39" s="62" t="s">
        <v>8</v>
      </c>
      <c r="I39" s="4" t="s">
        <v>327</v>
      </c>
      <c r="J39" s="52"/>
      <c r="K39" s="4" t="s">
        <v>23</v>
      </c>
    </row>
    <row r="40" spans="1:11" ht="42.75">
      <c r="A40" s="140"/>
      <c r="B40" s="19"/>
      <c r="C40" s="19" t="s">
        <v>118</v>
      </c>
      <c r="D40" s="64" t="s">
        <v>328</v>
      </c>
      <c r="E40" s="4" t="s">
        <v>12</v>
      </c>
      <c r="F40" s="4"/>
      <c r="G40" s="4" t="s">
        <v>326</v>
      </c>
      <c r="H40" s="62" t="s">
        <v>11</v>
      </c>
      <c r="I40" s="52" t="s">
        <v>329</v>
      </c>
      <c r="J40" s="52"/>
      <c r="K40" s="4" t="s">
        <v>23</v>
      </c>
    </row>
    <row r="41" spans="1:11" ht="14.25">
      <c r="A41" s="140"/>
      <c r="B41" s="4"/>
      <c r="C41" s="4" t="s">
        <v>119</v>
      </c>
      <c r="D41" s="58" t="s">
        <v>325</v>
      </c>
      <c r="E41" s="4" t="s">
        <v>9</v>
      </c>
      <c r="F41" s="4"/>
      <c r="G41" s="4" t="s">
        <v>326</v>
      </c>
      <c r="H41" s="62" t="s">
        <v>8</v>
      </c>
      <c r="I41" s="4" t="s">
        <v>327</v>
      </c>
      <c r="J41" s="52"/>
      <c r="K41" s="4" t="s">
        <v>23</v>
      </c>
    </row>
    <row r="42" spans="1:11" ht="14.25">
      <c r="A42" s="140"/>
      <c r="B42" s="4"/>
      <c r="C42" s="4" t="s">
        <v>120</v>
      </c>
      <c r="D42" s="64" t="s">
        <v>328</v>
      </c>
      <c r="E42" s="4" t="s">
        <v>12</v>
      </c>
      <c r="F42" s="4"/>
      <c r="G42" s="4" t="s">
        <v>326</v>
      </c>
      <c r="H42" s="62" t="s">
        <v>11</v>
      </c>
      <c r="I42" s="52" t="s">
        <v>329</v>
      </c>
      <c r="J42" s="52"/>
      <c r="K42" s="4" t="s">
        <v>23</v>
      </c>
    </row>
    <row r="43" spans="1:11" ht="14.25">
      <c r="A43" s="140"/>
      <c r="B43" s="4"/>
      <c r="C43" s="4" t="s">
        <v>121</v>
      </c>
      <c r="D43" s="58" t="s">
        <v>325</v>
      </c>
      <c r="E43" s="4" t="s">
        <v>9</v>
      </c>
      <c r="F43" s="4"/>
      <c r="G43" s="4" t="s">
        <v>326</v>
      </c>
      <c r="H43" s="62" t="s">
        <v>8</v>
      </c>
      <c r="I43" s="4" t="s">
        <v>327</v>
      </c>
      <c r="J43" s="52"/>
      <c r="K43" s="4" t="s">
        <v>23</v>
      </c>
    </row>
    <row r="44" spans="1:11" ht="14.25">
      <c r="A44" s="140"/>
      <c r="B44" s="4"/>
      <c r="C44" s="4" t="s">
        <v>122</v>
      </c>
      <c r="D44" s="64" t="s">
        <v>328</v>
      </c>
      <c r="E44" s="4" t="s">
        <v>12</v>
      </c>
      <c r="F44" s="4"/>
      <c r="G44" s="4" t="s">
        <v>326</v>
      </c>
      <c r="H44" s="62" t="s">
        <v>11</v>
      </c>
      <c r="I44" s="52" t="s">
        <v>329</v>
      </c>
      <c r="J44" s="52"/>
      <c r="K44" s="4" t="s">
        <v>23</v>
      </c>
    </row>
    <row r="45" spans="1:11" ht="14.25">
      <c r="A45" s="139" t="s">
        <v>123</v>
      </c>
      <c r="B45" s="4"/>
      <c r="C45" s="4" t="s">
        <v>124</v>
      </c>
      <c r="D45" s="66"/>
      <c r="E45" s="4" t="s">
        <v>12</v>
      </c>
      <c r="F45" s="4"/>
      <c r="G45" s="4" t="s">
        <v>330</v>
      </c>
      <c r="H45" s="62" t="s">
        <v>11</v>
      </c>
      <c r="I45" s="52" t="s">
        <v>329</v>
      </c>
      <c r="J45" s="52"/>
      <c r="K45" s="4" t="s">
        <v>23</v>
      </c>
    </row>
    <row r="46" spans="1:11" ht="14.25">
      <c r="A46" s="140"/>
      <c r="B46" s="4"/>
      <c r="C46" s="4" t="s">
        <v>125</v>
      </c>
      <c r="D46" s="66"/>
      <c r="E46" s="4" t="s">
        <v>12</v>
      </c>
      <c r="F46" s="4"/>
      <c r="G46" s="4" t="s">
        <v>330</v>
      </c>
      <c r="H46" s="62" t="s">
        <v>11</v>
      </c>
      <c r="I46" s="52" t="s">
        <v>329</v>
      </c>
      <c r="J46" s="52"/>
      <c r="K46" s="4" t="s">
        <v>23</v>
      </c>
    </row>
    <row r="47" spans="1:11" ht="28.5">
      <c r="A47" s="140"/>
      <c r="B47" s="19"/>
      <c r="C47" s="19" t="s">
        <v>126</v>
      </c>
      <c r="D47" s="66"/>
      <c r="E47" s="4" t="s">
        <v>12</v>
      </c>
      <c r="F47" s="4"/>
      <c r="G47" s="4" t="s">
        <v>330</v>
      </c>
      <c r="H47" s="62" t="s">
        <v>11</v>
      </c>
      <c r="I47" s="52" t="s">
        <v>329</v>
      </c>
      <c r="J47" s="52"/>
      <c r="K47" s="4" t="s">
        <v>23</v>
      </c>
    </row>
    <row r="48" spans="1:11" ht="14.25">
      <c r="A48" s="140"/>
      <c r="B48" s="4"/>
      <c r="C48" s="4" t="s">
        <v>127</v>
      </c>
      <c r="D48" s="67"/>
      <c r="E48" s="4" t="s">
        <v>12</v>
      </c>
      <c r="F48" s="4"/>
      <c r="G48" s="4" t="s">
        <v>330</v>
      </c>
      <c r="H48" s="62" t="s">
        <v>11</v>
      </c>
      <c r="I48" s="52" t="s">
        <v>329</v>
      </c>
      <c r="J48" s="4"/>
      <c r="K48" s="4" t="s">
        <v>23</v>
      </c>
    </row>
    <row r="49" spans="1:11" ht="14.25">
      <c r="A49" s="140"/>
      <c r="B49" s="4"/>
      <c r="C49" s="4" t="s">
        <v>128</v>
      </c>
      <c r="D49" s="67"/>
      <c r="E49" s="4" t="s">
        <v>12</v>
      </c>
      <c r="F49" s="4"/>
      <c r="G49" s="4" t="s">
        <v>330</v>
      </c>
      <c r="H49" s="62" t="s">
        <v>11</v>
      </c>
      <c r="I49" s="52" t="s">
        <v>329</v>
      </c>
      <c r="J49" s="52"/>
      <c r="K49" s="4" t="s">
        <v>23</v>
      </c>
    </row>
    <row r="50" spans="1:11" ht="14.25">
      <c r="A50" s="140"/>
      <c r="B50" s="4"/>
      <c r="C50" s="4" t="s">
        <v>129</v>
      </c>
      <c r="D50" s="67"/>
      <c r="E50" s="4" t="s">
        <v>12</v>
      </c>
      <c r="F50" s="4"/>
      <c r="G50" s="4" t="s">
        <v>330</v>
      </c>
      <c r="H50" s="62" t="s">
        <v>11</v>
      </c>
      <c r="I50" s="52" t="s">
        <v>329</v>
      </c>
      <c r="J50" s="52"/>
      <c r="K50" s="4" t="s">
        <v>23</v>
      </c>
    </row>
    <row r="51" spans="1:11" ht="14.25">
      <c r="A51" s="140"/>
      <c r="B51" s="4"/>
      <c r="C51" s="4" t="s">
        <v>130</v>
      </c>
      <c r="D51" s="67"/>
      <c r="E51" s="4" t="s">
        <v>12</v>
      </c>
      <c r="F51" s="4"/>
      <c r="G51" s="4" t="s">
        <v>330</v>
      </c>
      <c r="H51" s="62" t="s">
        <v>11</v>
      </c>
      <c r="I51" s="52" t="s">
        <v>329</v>
      </c>
      <c r="J51" s="52"/>
      <c r="K51" s="4" t="s">
        <v>23</v>
      </c>
    </row>
    <row r="52" spans="1:11" ht="51">
      <c r="A52" s="140"/>
      <c r="B52" s="4"/>
      <c r="C52" s="4" t="s">
        <v>131</v>
      </c>
      <c r="D52" s="60" t="s">
        <v>331</v>
      </c>
      <c r="E52" s="4" t="s">
        <v>9</v>
      </c>
      <c r="F52" s="4"/>
      <c r="G52" s="4" t="s">
        <v>330</v>
      </c>
      <c r="H52" s="62" t="s">
        <v>8</v>
      </c>
      <c r="I52" s="4" t="s">
        <v>327</v>
      </c>
      <c r="J52" s="52"/>
      <c r="K52" s="4" t="s">
        <v>23</v>
      </c>
    </row>
    <row r="53" spans="1:11" ht="51">
      <c r="A53" s="140"/>
      <c r="B53" s="4"/>
      <c r="C53" s="4" t="s">
        <v>132</v>
      </c>
      <c r="D53" s="60" t="s">
        <v>331</v>
      </c>
      <c r="E53" s="4" t="s">
        <v>9</v>
      </c>
      <c r="F53" s="4"/>
      <c r="G53" s="4" t="s">
        <v>330</v>
      </c>
      <c r="H53" s="62" t="s">
        <v>8</v>
      </c>
      <c r="I53" s="4" t="s">
        <v>327</v>
      </c>
      <c r="J53" s="52"/>
      <c r="K53" s="4" t="s">
        <v>23</v>
      </c>
    </row>
    <row r="54" spans="1:11" ht="14.25">
      <c r="A54" s="140"/>
      <c r="B54" s="4"/>
      <c r="C54" s="4" t="s">
        <v>133</v>
      </c>
      <c r="D54" s="64" t="s">
        <v>332</v>
      </c>
      <c r="E54" s="4" t="s">
        <v>16</v>
      </c>
      <c r="F54" s="4"/>
      <c r="G54" s="4" t="s">
        <v>330</v>
      </c>
      <c r="H54" s="62" t="s">
        <v>13</v>
      </c>
      <c r="I54" s="4" t="s">
        <v>333</v>
      </c>
      <c r="J54" s="4"/>
      <c r="K54" s="4" t="s">
        <v>23</v>
      </c>
    </row>
    <row r="55" spans="1:11" ht="14.25">
      <c r="A55" s="140"/>
      <c r="B55" s="4"/>
      <c r="C55" s="4" t="s">
        <v>134</v>
      </c>
      <c r="D55" s="68" t="s">
        <v>334</v>
      </c>
      <c r="E55" s="4" t="s">
        <v>9</v>
      </c>
      <c r="F55" s="4"/>
      <c r="G55" s="4" t="s">
        <v>330</v>
      </c>
      <c r="H55" s="62" t="s">
        <v>8</v>
      </c>
      <c r="I55" s="4" t="s">
        <v>327</v>
      </c>
      <c r="J55" s="52"/>
      <c r="K55" s="4" t="s">
        <v>23</v>
      </c>
    </row>
    <row r="56" spans="1:11" ht="14.25">
      <c r="A56" s="140"/>
      <c r="B56" s="4"/>
      <c r="C56" s="4" t="s">
        <v>135</v>
      </c>
      <c r="D56" s="69" t="s">
        <v>335</v>
      </c>
      <c r="E56" s="4" t="s">
        <v>12</v>
      </c>
      <c r="F56" s="4"/>
      <c r="G56" s="4" t="s">
        <v>330</v>
      </c>
      <c r="H56" s="62" t="s">
        <v>11</v>
      </c>
      <c r="I56" s="52" t="s">
        <v>329</v>
      </c>
      <c r="J56" s="52"/>
      <c r="K56" s="4" t="s">
        <v>23</v>
      </c>
    </row>
    <row r="57" spans="1:11" ht="14.25">
      <c r="A57" s="140"/>
      <c r="B57" s="4"/>
      <c r="C57" s="4" t="s">
        <v>136</v>
      </c>
      <c r="D57" s="68" t="s">
        <v>336</v>
      </c>
      <c r="E57" s="4" t="s">
        <v>9</v>
      </c>
      <c r="F57" s="4"/>
      <c r="G57" s="4" t="s">
        <v>330</v>
      </c>
      <c r="H57" s="62" t="s">
        <v>8</v>
      </c>
      <c r="I57" s="4" t="s">
        <v>327</v>
      </c>
      <c r="J57" s="52"/>
      <c r="K57" s="4" t="s">
        <v>23</v>
      </c>
    </row>
    <row r="58" spans="1:11" ht="14.25">
      <c r="A58" s="140"/>
      <c r="B58" s="4"/>
      <c r="C58" s="4" t="s">
        <v>137</v>
      </c>
      <c r="D58" s="68" t="s">
        <v>337</v>
      </c>
      <c r="E58" s="4" t="s">
        <v>12</v>
      </c>
      <c r="F58" s="4"/>
      <c r="G58" s="4" t="s">
        <v>330</v>
      </c>
      <c r="H58" s="62" t="s">
        <v>11</v>
      </c>
      <c r="I58" s="52" t="s">
        <v>329</v>
      </c>
      <c r="J58" s="52"/>
      <c r="K58" s="4" t="s">
        <v>23</v>
      </c>
    </row>
    <row r="59" spans="1:11" ht="14.25">
      <c r="A59" s="140"/>
      <c r="B59" s="4"/>
      <c r="C59" s="4" t="s">
        <v>138</v>
      </c>
      <c r="D59" s="69" t="s">
        <v>338</v>
      </c>
      <c r="E59" s="4" t="s">
        <v>12</v>
      </c>
      <c r="F59" s="4"/>
      <c r="G59" s="4" t="s">
        <v>330</v>
      </c>
      <c r="H59" s="62" t="s">
        <v>11</v>
      </c>
      <c r="I59" s="52" t="s">
        <v>329</v>
      </c>
      <c r="J59" s="52"/>
      <c r="K59" s="4" t="s">
        <v>23</v>
      </c>
    </row>
    <row r="60" spans="1:11" ht="14.25">
      <c r="A60" s="140"/>
      <c r="B60" s="4"/>
      <c r="C60" s="4" t="s">
        <v>139</v>
      </c>
      <c r="D60" s="70"/>
      <c r="E60" s="4" t="s">
        <v>12</v>
      </c>
      <c r="F60" s="4"/>
      <c r="G60" s="4" t="s">
        <v>330</v>
      </c>
      <c r="H60" s="62" t="s">
        <v>11</v>
      </c>
      <c r="I60" s="52" t="s">
        <v>329</v>
      </c>
      <c r="J60" s="4"/>
      <c r="K60" s="4" t="s">
        <v>23</v>
      </c>
    </row>
    <row r="61" spans="1:11" ht="14.25">
      <c r="A61" s="140"/>
      <c r="B61" s="4"/>
      <c r="C61" s="4" t="s">
        <v>140</v>
      </c>
      <c r="D61" s="69" t="s">
        <v>339</v>
      </c>
      <c r="E61" s="4" t="s">
        <v>9</v>
      </c>
      <c r="F61" s="4"/>
      <c r="G61" s="4" t="s">
        <v>330</v>
      </c>
      <c r="H61" s="62" t="s">
        <v>8</v>
      </c>
      <c r="I61" s="4" t="s">
        <v>327</v>
      </c>
      <c r="J61" s="52"/>
      <c r="K61" s="4" t="s">
        <v>23</v>
      </c>
    </row>
    <row r="62" spans="1:11" ht="14.25">
      <c r="A62" s="140"/>
      <c r="B62" s="4"/>
      <c r="C62" s="4" t="s">
        <v>141</v>
      </c>
      <c r="D62" s="64" t="s">
        <v>340</v>
      </c>
      <c r="E62" s="4" t="s">
        <v>12</v>
      </c>
      <c r="F62" s="4"/>
      <c r="G62" s="4" t="s">
        <v>330</v>
      </c>
      <c r="H62" s="62" t="s">
        <v>11</v>
      </c>
      <c r="I62" s="52" t="s">
        <v>329</v>
      </c>
      <c r="J62" s="52"/>
      <c r="K62" s="4" t="s">
        <v>23</v>
      </c>
    </row>
    <row r="63" spans="1:11" ht="14.25">
      <c r="A63" s="139" t="s">
        <v>102</v>
      </c>
      <c r="B63" s="4"/>
      <c r="C63" s="4" t="s">
        <v>341</v>
      </c>
      <c r="D63" s="64" t="s">
        <v>342</v>
      </c>
      <c r="E63" s="4" t="s">
        <v>343</v>
      </c>
      <c r="F63" s="4"/>
      <c r="G63" s="4"/>
      <c r="H63" s="4"/>
      <c r="I63" s="4"/>
      <c r="J63" s="4"/>
      <c r="K63" s="4"/>
    </row>
    <row r="64" spans="1:11" ht="14.25">
      <c r="A64" s="140"/>
      <c r="B64" s="4"/>
      <c r="C64" s="4" t="s">
        <v>344</v>
      </c>
      <c r="D64" s="64" t="s">
        <v>342</v>
      </c>
      <c r="E64" s="4" t="s">
        <v>345</v>
      </c>
      <c r="F64" s="4"/>
      <c r="G64" s="4"/>
      <c r="H64" s="4"/>
      <c r="I64" s="4"/>
      <c r="J64" s="4"/>
      <c r="K64" s="4"/>
    </row>
    <row r="65" spans="1:11" ht="14.25">
      <c r="A65" s="140"/>
      <c r="B65" s="4"/>
      <c r="C65" s="4" t="s">
        <v>106</v>
      </c>
      <c r="D65" s="64" t="s">
        <v>346</v>
      </c>
      <c r="E65" s="10"/>
      <c r="F65" s="4"/>
      <c r="G65" s="4" t="s">
        <v>347</v>
      </c>
      <c r="H65" s="4" t="s">
        <v>28</v>
      </c>
      <c r="I65" s="4" t="s">
        <v>347</v>
      </c>
      <c r="J65" s="4"/>
      <c r="K65" s="4" t="s">
        <v>28</v>
      </c>
    </row>
    <row r="66" spans="1:11" ht="14.25">
      <c r="A66" s="140"/>
      <c r="B66" s="4"/>
      <c r="C66" s="4" t="s">
        <v>108</v>
      </c>
      <c r="D66" s="64" t="s">
        <v>348</v>
      </c>
      <c r="E66" s="10"/>
      <c r="F66" s="4"/>
      <c r="G66" s="4" t="s">
        <v>347</v>
      </c>
      <c r="H66" s="4" t="s">
        <v>28</v>
      </c>
      <c r="I66" s="4" t="s">
        <v>347</v>
      </c>
      <c r="J66" s="52"/>
      <c r="K66" s="4" t="s">
        <v>28</v>
      </c>
    </row>
    <row r="67" spans="1:11" ht="14.25">
      <c r="A67" s="140"/>
      <c r="B67" s="4"/>
      <c r="C67" s="4" t="s">
        <v>109</v>
      </c>
      <c r="D67" s="64" t="s">
        <v>349</v>
      </c>
      <c r="E67" s="10"/>
      <c r="F67" s="4"/>
      <c r="G67" s="4" t="s">
        <v>350</v>
      </c>
      <c r="H67" s="4" t="s">
        <v>28</v>
      </c>
      <c r="I67" s="4" t="s">
        <v>350</v>
      </c>
      <c r="J67" s="52"/>
      <c r="K67" s="4" t="s">
        <v>28</v>
      </c>
    </row>
    <row r="68" spans="1:11" ht="14.25">
      <c r="A68" s="140"/>
      <c r="B68" s="4"/>
      <c r="C68" s="4" t="s">
        <v>110</v>
      </c>
      <c r="D68" s="64" t="s">
        <v>351</v>
      </c>
      <c r="E68" s="10"/>
      <c r="F68" s="4"/>
      <c r="G68" s="4" t="s">
        <v>350</v>
      </c>
      <c r="H68" s="4" t="s">
        <v>28</v>
      </c>
      <c r="I68" s="4" t="s">
        <v>350</v>
      </c>
      <c r="J68" s="52"/>
      <c r="K68" s="4" t="s">
        <v>28</v>
      </c>
    </row>
    <row r="69" spans="1:11" ht="14.25">
      <c r="A69" s="140"/>
      <c r="B69" s="4"/>
      <c r="C69" s="4" t="s">
        <v>111</v>
      </c>
      <c r="D69" s="64" t="s">
        <v>352</v>
      </c>
      <c r="E69" s="10"/>
      <c r="F69" s="4"/>
      <c r="G69" s="4" t="s">
        <v>350</v>
      </c>
      <c r="H69" s="4" t="s">
        <v>28</v>
      </c>
      <c r="I69" s="4" t="s">
        <v>350</v>
      </c>
      <c r="J69" s="52"/>
      <c r="K69" s="4" t="s">
        <v>28</v>
      </c>
    </row>
    <row r="70" spans="1:11" ht="14.25">
      <c r="A70" s="140"/>
      <c r="B70" s="4"/>
      <c r="C70" s="4" t="s">
        <v>112</v>
      </c>
      <c r="D70" s="64" t="s">
        <v>353</v>
      </c>
      <c r="E70" s="6"/>
      <c r="F70" s="4"/>
      <c r="G70" s="4" t="s">
        <v>354</v>
      </c>
      <c r="H70" s="4" t="s">
        <v>28</v>
      </c>
      <c r="I70" s="4" t="s">
        <v>355</v>
      </c>
      <c r="J70" s="52"/>
      <c r="K70" s="4" t="s">
        <v>23</v>
      </c>
    </row>
    <row r="71" spans="1:11" ht="14.25">
      <c r="A71" s="140"/>
      <c r="B71" s="4"/>
      <c r="C71" s="4" t="s">
        <v>356</v>
      </c>
      <c r="D71" s="64" t="s">
        <v>357</v>
      </c>
      <c r="E71" s="4"/>
      <c r="F71" s="4"/>
      <c r="G71" s="4" t="s">
        <v>355</v>
      </c>
      <c r="H71" s="4" t="s">
        <v>28</v>
      </c>
      <c r="I71" s="4" t="s">
        <v>355</v>
      </c>
      <c r="J71" s="52"/>
      <c r="K71" s="4"/>
    </row>
    <row r="72" spans="1:11" ht="14.25">
      <c r="A72" s="140"/>
      <c r="B72" s="4"/>
      <c r="C72" s="4" t="s">
        <v>358</v>
      </c>
      <c r="D72" s="64" t="s">
        <v>359</v>
      </c>
      <c r="E72" s="4"/>
      <c r="F72" s="4"/>
      <c r="G72" s="52" t="s">
        <v>355</v>
      </c>
      <c r="H72" s="52" t="s">
        <v>28</v>
      </c>
      <c r="I72" s="52" t="s">
        <v>355</v>
      </c>
      <c r="J72" s="52"/>
      <c r="K72" s="4"/>
    </row>
    <row r="73" spans="1:11" ht="12.75">
      <c r="D73" s="58"/>
    </row>
  </sheetData>
  <mergeCells count="7">
    <mergeCell ref="A63:A72"/>
    <mergeCell ref="A2:A18"/>
    <mergeCell ref="A19:A24"/>
    <mergeCell ref="A25:A30"/>
    <mergeCell ref="A31:A38"/>
    <mergeCell ref="A39:A44"/>
    <mergeCell ref="A45:A62"/>
  </mergeCells>
  <phoneticPr fontId="2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问题"/>
  <dimension ref="A1:E11"/>
  <sheetViews>
    <sheetView workbookViewId="0"/>
  </sheetViews>
  <sheetFormatPr defaultColWidth="13.7109375" defaultRowHeight="18" customHeight="1"/>
  <cols>
    <col min="1" max="1" width="28.28515625" customWidth="1"/>
    <col min="2" max="2" width="54.5703125" customWidth="1"/>
    <col min="3" max="3" width="45.7109375" customWidth="1"/>
    <col min="4" max="4" width="50.85546875" customWidth="1"/>
  </cols>
  <sheetData>
    <row r="1" spans="1:5">
      <c r="A1" s="71" t="s">
        <v>360</v>
      </c>
      <c r="B1" s="23" t="s">
        <v>361</v>
      </c>
      <c r="C1" s="23" t="s">
        <v>362</v>
      </c>
      <c r="D1" s="23" t="s">
        <v>363</v>
      </c>
      <c r="E1" s="23" t="s">
        <v>144</v>
      </c>
    </row>
    <row r="2" spans="1:5">
      <c r="B2" t="s">
        <v>364</v>
      </c>
      <c r="C2" t="s">
        <v>365</v>
      </c>
      <c r="D2" t="s">
        <v>366</v>
      </c>
    </row>
    <row r="3" spans="1:5">
      <c r="C3" t="s">
        <v>367</v>
      </c>
      <c r="D3" t="s">
        <v>368</v>
      </c>
    </row>
    <row r="4" spans="1:5">
      <c r="B4" t="s">
        <v>369</v>
      </c>
      <c r="C4" t="s">
        <v>124</v>
      </c>
      <c r="D4" t="s">
        <v>370</v>
      </c>
    </row>
    <row r="5" spans="1:5">
      <c r="B5" t="s">
        <v>371</v>
      </c>
      <c r="D5" t="s">
        <v>372</v>
      </c>
    </row>
    <row r="6" spans="1:5">
      <c r="B6" t="s">
        <v>373</v>
      </c>
      <c r="C6" t="s">
        <v>374</v>
      </c>
      <c r="D6" t="s">
        <v>375</v>
      </c>
    </row>
    <row r="7" spans="1:5">
      <c r="B7" t="s">
        <v>376</v>
      </c>
      <c r="C7" t="s">
        <v>377</v>
      </c>
      <c r="D7" t="s">
        <v>378</v>
      </c>
    </row>
    <row r="8" spans="1:5">
      <c r="A8" t="s">
        <v>251</v>
      </c>
      <c r="B8" t="s">
        <v>379</v>
      </c>
      <c r="D8" t="s">
        <v>380</v>
      </c>
    </row>
    <row r="9" spans="1:5">
      <c r="B9" t="s">
        <v>381</v>
      </c>
      <c r="D9" t="s">
        <v>382</v>
      </c>
    </row>
    <row r="10" spans="1:5">
      <c r="A10" t="s">
        <v>383</v>
      </c>
      <c r="B10" t="s">
        <v>384</v>
      </c>
      <c r="D10" t="s">
        <v>385</v>
      </c>
    </row>
    <row r="11" spans="1:5">
      <c r="A11" t="s">
        <v>386</v>
      </c>
      <c r="B11" t="s">
        <v>387</v>
      </c>
    </row>
  </sheetData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成本模型（真实数据）</vt:lpstr>
      <vt:lpstr>资产编码</vt:lpstr>
      <vt:lpstr>成本模型（模拟数据）</vt:lpstr>
      <vt:lpstr>数据来源</vt:lpstr>
      <vt:lpstr>瓶颈资源单价</vt:lpstr>
      <vt:lpstr>资产系统资产与分类对应</vt:lpstr>
      <vt:lpstr>产品成本对应（草稿）</vt:lpstr>
      <vt:lpstr>产品价格表</vt:lpstr>
      <vt:lpstr>问题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苏英才(10076202)</cp:lastModifiedBy>
  <dcterms:created xsi:type="dcterms:W3CDTF">2026-02-08T16:54:23Z</dcterms:created>
  <dcterms:modified xsi:type="dcterms:W3CDTF">2026-02-08T09:25:19Z</dcterms:modified>
</cp:coreProperties>
</file>