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T运维\FinOps\AI coding FinOps\FinOpsV2.0\"/>
    </mc:Choice>
  </mc:AlternateContent>
  <bookViews>
    <workbookView xWindow="0" yWindow="0" windowWidth="28800" windowHeight="12930" activeTab="5"/>
  </bookViews>
  <sheets>
    <sheet name="资产管理" sheetId="1" r:id="rId1"/>
    <sheet name="成本模型（模拟数据）" sheetId="2" r:id="rId2"/>
    <sheet name="成本池" sheetId="3" r:id="rId3"/>
    <sheet name="服务价格表2" sheetId="4" r:id="rId4"/>
    <sheet name="计量台账" sheetId="5" r:id="rId5"/>
    <sheet name="账单" sheetId="6" r:id="rId6"/>
  </sheets>
  <calcPr calcId="162913"/>
</workbook>
</file>

<file path=xl/calcChain.xml><?xml version="1.0" encoding="utf-8"?>
<calcChain xmlns="http://schemas.openxmlformats.org/spreadsheetml/2006/main">
  <c r="I8" i="6" l="1"/>
  <c r="N53" i="2"/>
  <c r="K53" i="2"/>
  <c r="K52" i="2"/>
  <c r="N52" i="2" s="1"/>
  <c r="K51" i="2"/>
  <c r="N51" i="2" s="1"/>
  <c r="K50" i="2"/>
  <c r="N50" i="2" s="1"/>
  <c r="K49" i="2"/>
  <c r="N49" i="2" s="1"/>
  <c r="K48" i="2"/>
  <c r="N48" i="2" s="1"/>
  <c r="N47" i="2"/>
  <c r="K47" i="2"/>
  <c r="K46" i="2"/>
  <c r="N46" i="2" s="1"/>
  <c r="K45" i="2"/>
  <c r="N45" i="2" s="1"/>
  <c r="K44" i="2"/>
  <c r="N44" i="2" s="1"/>
  <c r="K43" i="2"/>
  <c r="N43" i="2" s="1"/>
  <c r="K42" i="2"/>
  <c r="N42" i="2" s="1"/>
  <c r="N41" i="2"/>
  <c r="K41" i="2"/>
  <c r="K35" i="2"/>
  <c r="N35" i="2" s="1"/>
  <c r="K34" i="2"/>
  <c r="N34" i="2" s="1"/>
  <c r="K33" i="2"/>
  <c r="N33" i="2" s="1"/>
  <c r="K32" i="2"/>
  <c r="N32" i="2" s="1"/>
  <c r="K31" i="2"/>
  <c r="N31" i="2" s="1"/>
  <c r="N30" i="2"/>
  <c r="K30" i="2"/>
  <c r="K29" i="2"/>
  <c r="N29" i="2" s="1"/>
  <c r="K28" i="2"/>
  <c r="N28" i="2" s="1"/>
  <c r="K24" i="2"/>
  <c r="N24" i="2" s="1"/>
  <c r="N23" i="2"/>
  <c r="K23" i="2"/>
  <c r="K22" i="2"/>
  <c r="N22" i="2" s="1"/>
  <c r="K21" i="2"/>
  <c r="N21" i="2" s="1"/>
  <c r="N20" i="2"/>
  <c r="K20" i="2"/>
  <c r="K19" i="2"/>
  <c r="N19" i="2" s="1"/>
  <c r="K18" i="2"/>
  <c r="N18" i="2" s="1"/>
  <c r="N17" i="2"/>
  <c r="O17" i="2" s="1"/>
  <c r="K17" i="2"/>
  <c r="K16" i="2"/>
  <c r="N16" i="2" s="1"/>
  <c r="K15" i="2"/>
  <c r="N15" i="2" s="1"/>
  <c r="N14" i="2"/>
  <c r="K14" i="2"/>
  <c r="K13" i="2"/>
  <c r="N13" i="2" s="1"/>
  <c r="K12" i="2"/>
  <c r="N12" i="2" s="1"/>
  <c r="N11" i="2"/>
  <c r="K11" i="2"/>
  <c r="K10" i="2"/>
  <c r="N10" i="2" s="1"/>
  <c r="K9" i="2"/>
  <c r="N9" i="2" s="1"/>
  <c r="N8" i="2"/>
  <c r="O8" i="2" s="1"/>
  <c r="K8" i="2"/>
  <c r="K7" i="2"/>
  <c r="N7" i="2" s="1"/>
  <c r="K6" i="2"/>
  <c r="N6" i="2" s="1"/>
  <c r="N5" i="2"/>
  <c r="K5" i="2"/>
  <c r="K4" i="2"/>
  <c r="N4" i="2" s="1"/>
  <c r="K3" i="2"/>
  <c r="N3" i="2" s="1"/>
  <c r="O9" i="2" l="1"/>
  <c r="P9" i="2" s="1"/>
  <c r="O19" i="2"/>
  <c r="P19" i="2" s="1"/>
  <c r="O20" i="2"/>
  <c r="P20" i="2" s="1"/>
  <c r="O18" i="2"/>
  <c r="P18" i="2" s="1"/>
  <c r="O10" i="2"/>
  <c r="P10" i="2" s="1"/>
  <c r="O3" i="2"/>
  <c r="P3" i="2" s="1"/>
  <c r="O12" i="2"/>
  <c r="P12" i="2" s="1"/>
  <c r="O21" i="2"/>
  <c r="P21" i="2" s="1"/>
  <c r="O4" i="2"/>
  <c r="P4" i="2" s="1"/>
  <c r="O13" i="2"/>
  <c r="P13" i="2" s="1"/>
  <c r="O22" i="2"/>
  <c r="P22" i="2" s="1"/>
  <c r="P5" i="2"/>
  <c r="O14" i="2"/>
  <c r="P14" i="2" s="1"/>
  <c r="O6" i="2"/>
  <c r="P6" i="2" s="1"/>
  <c r="O15" i="2"/>
  <c r="P15" i="2" s="1"/>
  <c r="O24" i="2"/>
  <c r="P24" i="2" s="1"/>
  <c r="O7" i="2"/>
  <c r="P7" i="2" s="1"/>
  <c r="O16" i="2"/>
  <c r="P16" i="2" s="1"/>
  <c r="O5" i="2"/>
  <c r="P8" i="2"/>
  <c r="P17" i="2"/>
  <c r="O23" i="2"/>
  <c r="P23" i="2" s="1"/>
  <c r="O11" i="2"/>
  <c r="P11" i="2" s="1"/>
</calcChain>
</file>

<file path=xl/sharedStrings.xml><?xml version="1.0" encoding="utf-8"?>
<sst xmlns="http://schemas.openxmlformats.org/spreadsheetml/2006/main" count="774" uniqueCount="282">
  <si>
    <t>单价</t>
  </si>
  <si>
    <t>服务名称</t>
  </si>
  <si>
    <t>资源单价</t>
  </si>
  <si>
    <t>CPU</t>
  </si>
  <si>
    <t>MEM</t>
  </si>
  <si>
    <t>标准通用服务器 虚拟化类应用</t>
  </si>
  <si>
    <t>大数据类存储-机械多盘</t>
  </si>
  <si>
    <t>套</t>
  </si>
  <si>
    <t>成本池名称</t>
  </si>
  <si>
    <t>关联成本项</t>
  </si>
  <si>
    <t>瓶颈资源</t>
  </si>
  <si>
    <t>总价</t>
  </si>
  <si>
    <t>资源总量</t>
  </si>
  <si>
    <t>单位</t>
  </si>
  <si>
    <t>容器</t>
  </si>
  <si>
    <t>标准通用服务器 容器应用-容器、
高性能容器应用-容器</t>
  </si>
  <si>
    <t>1000+2000=3000</t>
  </si>
  <si>
    <t>500+1000=1500</t>
  </si>
  <si>
    <t>3000/1500=2</t>
  </si>
  <si>
    <t>元/C</t>
  </si>
  <si>
    <t>定义：成本项所属分类大类
手动选择</t>
  </si>
  <si>
    <t>手动添加</t>
  </si>
  <si>
    <t>定义：确定公摊范围。同一个公摊池内的成本进行公摊计算，将本池的公摊成本摊到本池非公摊成本项上
手动维护</t>
  </si>
  <si>
    <t>若该成本无法单独计费则定为公摊成本
手动维护</t>
  </si>
  <si>
    <t>手动维护</t>
  </si>
  <si>
    <t>设备与软件资产类：
    资产系统获取
        单价=所有资产采购价总和/资产数量
其他类型手动录入</t>
  </si>
  <si>
    <t>硬件设备统一60个月
软件按资产系统真实数据获取</t>
  </si>
  <si>
    <t>单价/折旧月限</t>
  </si>
  <si>
    <t xml:space="preserve">资产：资产台账总数
其他：手动录入
</t>
  </si>
  <si>
    <t>资产：采购价总额
其他：折旧月价*数量</t>
  </si>
  <si>
    <t>同一公摊池内：
每项非公摊月成本/所有非公摊成本之和
非公摊成本显示--</t>
  </si>
  <si>
    <t>同一公摊池内：
每项非公摊月成本+公摊成本之和*对应公摊比例
公摊成本该字段为--</t>
  </si>
  <si>
    <t>固定规格*数量</t>
  </si>
  <si>
    <t>成本分类</t>
  </si>
  <si>
    <t>成本项</t>
  </si>
  <si>
    <t>用途</t>
  </si>
  <si>
    <t>规格（辅助字段）</t>
  </si>
  <si>
    <t>城市</t>
  </si>
  <si>
    <t>公摊池</t>
  </si>
  <si>
    <t>公摊类型</t>
  </si>
  <si>
    <t>描述</t>
  </si>
  <si>
    <t>单价（元）</t>
  </si>
  <si>
    <t>折旧月限</t>
  </si>
  <si>
    <t>折旧月价</t>
  </si>
  <si>
    <t>数量</t>
  </si>
  <si>
    <t>月总成本（元）</t>
  </si>
  <si>
    <t>公摊比例</t>
  </si>
  <si>
    <t>公摊后月总成本（元）</t>
  </si>
  <si>
    <t>CPU资源总量（C）</t>
  </si>
  <si>
    <t>MEM资源总量（GB）</t>
  </si>
  <si>
    <t>Disk资源总量（T）</t>
  </si>
  <si>
    <t>设备费用</t>
  </si>
  <si>
    <t>标准通用服务器 容器应用-物理机</t>
  </si>
  <si>
    <t>物理机</t>
  </si>
  <si>
    <t>通算服务器机型一（32C/384G/11T）</t>
  </si>
  <si>
    <t>基础资源</t>
  </si>
  <si>
    <t>非公摊成本</t>
  </si>
  <si>
    <t>台</t>
  </si>
  <si>
    <t>标准通用服务器 虚拟化类应用-物理机</t>
  </si>
  <si>
    <t>通算服务器机型二（32C/512G/24T）</t>
  </si>
  <si>
    <t>高性能容器应用-物理机</t>
  </si>
  <si>
    <t>通算服务器机型三（32C/512G/11T SSD）</t>
  </si>
  <si>
    <t>小型单机应用-物理机</t>
  </si>
  <si>
    <t>通算服务器机型四（32C/256G/3.8T）</t>
  </si>
  <si>
    <t>高速编译型应用（高主频、高核心）-物理机</t>
  </si>
  <si>
    <t>通算服务器机型五（48C/256G/15T）</t>
  </si>
  <si>
    <t>国产化-物理机</t>
  </si>
  <si>
    <t>通算服务器机型六（龙芯3C/384G/8T）</t>
  </si>
  <si>
    <t>大数据类存储-机械多盘-物理机</t>
  </si>
  <si>
    <t>存储型服务器机型一(32C/256G/48T)</t>
  </si>
  <si>
    <t>大数据类存储-机械大盘-物理机</t>
  </si>
  <si>
    <t>存储型服务器机型二(32C/256G/72T)</t>
  </si>
  <si>
    <t>大数据类存储-高速IO-物理机</t>
  </si>
  <si>
    <t>存储类服务器机型三（32C/256G/34T SSD ）</t>
  </si>
  <si>
    <t>大数据类超大存储-物理机</t>
  </si>
  <si>
    <t>存储类服务器机型四（ 64C/768G/72T+3.2T）</t>
  </si>
  <si>
    <t>GPU服务器 RTX3090-物理机</t>
  </si>
  <si>
    <t>GPU服务器 RTX3090 （16C/256G/8T SSD/3090*2）</t>
  </si>
  <si>
    <t>GPU服务器 RTX4090-物理机</t>
  </si>
  <si>
    <t>GPU服务器 RTX4090（32C/256G/3.8T SSD/4090*2）</t>
  </si>
  <si>
    <t>GPU服务器 A10-物理机</t>
  </si>
  <si>
    <t>GPU服务器 A10（32C/512G/23T/A10*2）</t>
  </si>
  <si>
    <t>GPU服务器 A40-物理机</t>
  </si>
  <si>
    <t>GPU服务器 A40（32C/768G/23T/A40*2）</t>
  </si>
  <si>
    <t>GPU服务器 A100-物理机</t>
  </si>
  <si>
    <t>GPU服务器 A800（64C/2048G/30T/A800*8）</t>
  </si>
  <si>
    <t>GPU服务器 A800-物理机</t>
  </si>
  <si>
    <t>GPU服务器 H100（96C/2048G/30T/H100*8）</t>
  </si>
  <si>
    <t>GPU服务器 H100-物理机</t>
  </si>
  <si>
    <t>GPU服务器 H800（96C/2048G/30T/H800*8）</t>
  </si>
  <si>
    <t>块存储 SAN</t>
  </si>
  <si>
    <t>100T</t>
  </si>
  <si>
    <t>--</t>
  </si>
  <si>
    <t>大数据类存储-机械多盘-存储</t>
  </si>
  <si>
    <t>存储</t>
  </si>
  <si>
    <t>大数据类存储-机械大盘-存储</t>
  </si>
  <si>
    <t>大数据类存储-高速IO-存储</t>
  </si>
  <si>
    <t>大数据类超大存储-存储</t>
  </si>
  <si>
    <t>标准通用服务器 虚拟化类应用-虚拟机</t>
  </si>
  <si>
    <t>虚拟机</t>
  </si>
  <si>
    <t>标准通用服务器 容器应用-容器</t>
  </si>
  <si>
    <t>高性能容器应用-容器</t>
  </si>
  <si>
    <t>软件平台</t>
  </si>
  <si>
    <t>容器管理平台</t>
  </si>
  <si>
    <t>公摊成本</t>
  </si>
  <si>
    <t>网络带宽</t>
  </si>
  <si>
    <t>互联网出口带宽（数据中心）</t>
  </si>
  <si>
    <t>互联网网络</t>
  </si>
  <si>
    <t>网络</t>
  </si>
  <si>
    <t>跨区专线</t>
  </si>
  <si>
    <t>网络防火墙</t>
  </si>
  <si>
    <t>流量编排（数据中心）</t>
  </si>
  <si>
    <t>路由器（数据中心）</t>
  </si>
  <si>
    <t>交换机（数据中心）</t>
  </si>
  <si>
    <t>负载均衡（数据中心）</t>
  </si>
  <si>
    <t>安全防火墙</t>
  </si>
  <si>
    <t>安全</t>
  </si>
  <si>
    <t>waf</t>
  </si>
  <si>
    <t>IDS</t>
  </si>
  <si>
    <t>IPS</t>
  </si>
  <si>
    <t>堡垒机</t>
  </si>
  <si>
    <t>动环系统</t>
  </si>
  <si>
    <t>基础设施</t>
  </si>
  <si>
    <t>机房环境</t>
  </si>
  <si>
    <t>（UPS、主机、配电柜、蓄电池、行级空调、精密空调、空间配电柜、机柜、耗材、装修、弱电、地板、防静电地板）</t>
  </si>
  <si>
    <t>个</t>
  </si>
  <si>
    <t>场地成本</t>
  </si>
  <si>
    <t>平</t>
  </si>
  <si>
    <t>运营费用</t>
  </si>
  <si>
    <t>机房维保费用</t>
  </si>
  <si>
    <t>电费-北京一期</t>
  </si>
  <si>
    <t>北京一期</t>
  </si>
  <si>
    <t>度</t>
  </si>
  <si>
    <t>电费-北京二期</t>
  </si>
  <si>
    <t>北京二期</t>
  </si>
  <si>
    <t>电费-西安</t>
  </si>
  <si>
    <t>西安</t>
  </si>
  <si>
    <t>电费-上海</t>
  </si>
  <si>
    <t>上海</t>
  </si>
  <si>
    <t>网络运维人工</t>
  </si>
  <si>
    <t>运维人员人工</t>
  </si>
  <si>
    <t>总部</t>
  </si>
  <si>
    <t>存储维保</t>
  </si>
  <si>
    <t>维保</t>
  </si>
  <si>
    <t>动环维保</t>
  </si>
  <si>
    <t>网络维保（数据中心）</t>
  </si>
  <si>
    <t>机房维保</t>
  </si>
  <si>
    <t>定价示例</t>
  </si>
  <si>
    <t>一：产品关联成本项</t>
  </si>
  <si>
    <t>产品名称</t>
  </si>
  <si>
    <t>公摊后总成本</t>
  </si>
  <si>
    <t>计价资源</t>
  </si>
  <si>
    <t>计价资源总量</t>
  </si>
  <si>
    <t>定价规则</t>
  </si>
  <si>
    <t>资源单价（元）</t>
  </si>
  <si>
    <t>成本价/计价资源总量</t>
  </si>
  <si>
    <t>GB/月</t>
  </si>
  <si>
    <t>标准云主机 2C/4G</t>
  </si>
  <si>
    <t>DISK</t>
  </si>
  <si>
    <t>T/月</t>
  </si>
  <si>
    <t>公网端口映射</t>
  </si>
  <si>
    <t>工时</t>
  </si>
  <si>
    <t>21120(22d*8h*60min*3人)</t>
  </si>
  <si>
    <t>分</t>
  </si>
  <si>
    <t>安全人工</t>
  </si>
  <si>
    <t>21120(22d*8h*60min*4人)</t>
  </si>
  <si>
    <t>二：产品定价</t>
  </si>
  <si>
    <t>产品类型</t>
  </si>
  <si>
    <t>产品定价规则</t>
  </si>
  <si>
    <t>标准通用服务器 虚拟化类应用公摊后总成本/数量</t>
  </si>
  <si>
    <t xml:space="preserve">标准云主机 2C/4G  </t>
  </si>
  <si>
    <t>MEM资源单价*MEM规格+DISK单价*DISK规格</t>
  </si>
  <si>
    <t>30min配置+30min安全评估</t>
  </si>
  <si>
    <t>网络工程师工时单价*配置时长+安全工程师工时单价*安全工程师评估时长</t>
  </si>
  <si>
    <t>三：产品价格表</t>
  </si>
  <si>
    <t>产品价格</t>
  </si>
  <si>
    <t>公有云比价</t>
  </si>
  <si>
    <t>服务分类</t>
  </si>
  <si>
    <t>CPU规格（C）</t>
  </si>
  <si>
    <t>MEM规格（G）</t>
  </si>
  <si>
    <t>DISK规格（T）</t>
  </si>
  <si>
    <t>关联成本池</t>
  </si>
  <si>
    <t>服务费</t>
  </si>
  <si>
    <t>附加存储费</t>
  </si>
  <si>
    <t>华为云参考价</t>
  </si>
  <si>
    <t>通算服务器</t>
  </si>
  <si>
    <t>11T</t>
  </si>
  <si>
    <t>通算服务器机型三（32/512G/11T SSD）</t>
  </si>
  <si>
    <t>智算服务器</t>
  </si>
  <si>
    <t>云主机</t>
  </si>
  <si>
    <t>2C</t>
  </si>
  <si>
    <t>4G</t>
  </si>
  <si>
    <t>云主机成本池</t>
  </si>
  <si>
    <t>50G存储费</t>
  </si>
  <si>
    <t>元/GB</t>
  </si>
  <si>
    <t>标准云主机 4C/8G</t>
  </si>
  <si>
    <t>标准云主机 8C/16G</t>
  </si>
  <si>
    <t>标准云主机 16C/32G</t>
  </si>
  <si>
    <t>标准云主机 32C/64G</t>
  </si>
  <si>
    <t>标准云主机 64C/128G</t>
  </si>
  <si>
    <t>通用容器资源 2C/4G</t>
  </si>
  <si>
    <t>容器成本池</t>
  </si>
  <si>
    <t>4+5=9</t>
  </si>
  <si>
    <t>通用容器资源 4C/8G</t>
  </si>
  <si>
    <t>通用容器资源 8C/16G</t>
  </si>
  <si>
    <t>通用容器资源 16C/32G</t>
  </si>
  <si>
    <t>通用容器资源 32C/64G</t>
  </si>
  <si>
    <t>通用容器资源 64C/128G</t>
  </si>
  <si>
    <t>资产编码</t>
  </si>
  <si>
    <t>品牌</t>
  </si>
  <si>
    <t>使用人</t>
  </si>
  <si>
    <t>关联产品/项目</t>
  </si>
  <si>
    <t>所属部门</t>
  </si>
  <si>
    <t>创建日期</t>
  </si>
  <si>
    <t>记录日期</t>
  </si>
  <si>
    <t>a</t>
  </si>
  <si>
    <t>产品1</t>
  </si>
  <si>
    <t>部门1</t>
  </si>
  <si>
    <t>2026.2.14</t>
  </si>
  <si>
    <t>c</t>
  </si>
  <si>
    <t>产品5</t>
  </si>
  <si>
    <t>部门2</t>
  </si>
  <si>
    <t>产品2</t>
  </si>
  <si>
    <t>d</t>
  </si>
  <si>
    <t>产品6</t>
  </si>
  <si>
    <t>2026.2.23</t>
  </si>
  <si>
    <t>产品3</t>
  </si>
  <si>
    <t>b</t>
  </si>
  <si>
    <t>产品4</t>
  </si>
  <si>
    <t>2026.2.24</t>
  </si>
  <si>
    <t>其他</t>
  </si>
  <si>
    <t>方案一：计量台账是否只关注增量即可，不关注更新和删除数据</t>
  </si>
  <si>
    <t>方案二：还是记录每日当前使用人数据，根据创建日期进行去重，计算用量，计算使用期间内的资源使用量</t>
  </si>
  <si>
    <t>部门1 2026.02账单</t>
  </si>
  <si>
    <t>使用期间资源使用率平均值？</t>
  </si>
  <si>
    <t>关联产品</t>
  </si>
  <si>
    <t>资源使用率</t>
  </si>
  <si>
    <t>金额</t>
  </si>
  <si>
    <t>物理服务器</t>
  </si>
  <si>
    <t>总金额</t>
  </si>
  <si>
    <t>场景：</t>
  </si>
  <si>
    <t>用户a申请资源后，2.3-2.6日期间使用，后释放该资源。</t>
  </si>
  <si>
    <t>问题：</t>
  </si>
  <si>
    <t>此时本月账单中有该部分资源的费用。但资源使用率是否能统计到其使用期间的资源使用率？</t>
  </si>
  <si>
    <t>资产名称</t>
  </si>
  <si>
    <t>资产状态</t>
  </si>
  <si>
    <t>资产型号</t>
  </si>
  <si>
    <t>资产配置</t>
  </si>
  <si>
    <t>设备序列号</t>
  </si>
  <si>
    <t>分类名称</t>
  </si>
  <si>
    <t>FinOps资产分类</t>
  </si>
  <si>
    <t>FinOps资产用途</t>
  </si>
  <si>
    <t>占用状态</t>
  </si>
  <si>
    <t>采购价格</t>
  </si>
  <si>
    <t>使用月限</t>
  </si>
  <si>
    <t>计量单位</t>
  </si>
  <si>
    <t>采购日期</t>
  </si>
  <si>
    <t>增加方式</t>
  </si>
  <si>
    <t>资产类型</t>
  </si>
  <si>
    <t>所属地区</t>
  </si>
  <si>
    <t>员工姓名</t>
  </si>
  <si>
    <t>员工域账号</t>
  </si>
  <si>
    <t>部门</t>
  </si>
  <si>
    <t>资产唯一标识</t>
  </si>
  <si>
    <t>华为服务器</t>
  </si>
  <si>
    <t>报废、在库、在用</t>
  </si>
  <si>
    <t>例如：华为 Atlas 800（Model 3000)</t>
  </si>
  <si>
    <t>华为</t>
  </si>
  <si>
    <t>华为鲲鹏920-5220-32Core/64G/480G/Atlas 300V Pro 双卡</t>
  </si>
  <si>
    <t>2102313NMSPOR1100077</t>
  </si>
  <si>
    <t>资产系统分类。例如：磁盘阵列、存储设备、机架式服务器</t>
  </si>
  <si>
    <t>例如：国产化服务器、GPU服务器RTX4090、标准化通用服务器-容器应用</t>
  </si>
  <si>
    <t>后续划分成本池的依据。用途选项：物理机、虚拟机集群、容器集群、数据库、存储</t>
  </si>
  <si>
    <t>占用、未占用、报废</t>
  </si>
  <si>
    <t>购入、其他</t>
  </si>
  <si>
    <t>在用、闲置
报废</t>
  </si>
  <si>
    <t>北京片区-北京-广联达大厦二期-F01-111核心机房</t>
  </si>
  <si>
    <t>采购资产归属人姓名</t>
  </si>
  <si>
    <t>采购资产归属人域账号</t>
  </si>
  <si>
    <t>采购资产归属人所属部门</t>
  </si>
  <si>
    <r>
      <rPr>
        <sz val="11"/>
        <color rgb="FFFF0000"/>
        <rFont val="等线"/>
        <charset val="134"/>
      </rPr>
      <t xml:space="preserve">设备与软件资产类
      资产系统获取所在地区
  </t>
    </r>
    <r>
      <rPr>
        <sz val="11"/>
        <color rgb="FF277C4F"/>
        <rFont val="等线"/>
        <charset val="134"/>
      </rPr>
      <t xml:space="preserve"> 资产系统地区可能不准</t>
    </r>
    <r>
      <rPr>
        <sz val="11"/>
        <color rgb="FFFF0000"/>
        <rFont val="等线"/>
        <charset val="134"/>
      </rPr>
      <t xml:space="preserve">
其他类型手动维护</t>
    </r>
  </si>
  <si>
    <r>
      <rPr>
        <sz val="10"/>
        <color rgb="FFFF0000"/>
        <rFont val="等线"/>
        <charset val="134"/>
      </rPr>
      <t>例如：</t>
    </r>
    <r>
      <rPr>
        <sz val="10"/>
        <color rgb="FFFF0000"/>
        <rFont val="等线"/>
        <charset val="134"/>
      </rPr>
      <t xml:space="preserve">
GPU服务器 RTX3090</t>
    </r>
    <r>
      <rPr>
        <sz val="10"/>
        <color rgb="FFFF0000"/>
        <rFont val="等线"/>
        <charset val="134"/>
      </rPr>
      <t xml:space="preserve">
负载均衡</t>
    </r>
    <r>
      <rPr>
        <sz val="10"/>
        <color rgb="FFFF0000"/>
        <rFont val="等线"/>
        <charset val="134"/>
      </rPr>
      <t xml:space="preserve">
IPS</t>
    </r>
    <r>
      <rPr>
        <sz val="10"/>
        <color rgb="FFFF0000"/>
        <rFont val="等线"/>
        <charset val="134"/>
      </rPr>
      <t xml:space="preserve">
软件</t>
    </r>
    <r>
      <rPr>
        <sz val="10"/>
        <color rgb="FFFF0000"/>
        <rFont val="等线"/>
        <charset val="134"/>
      </rPr>
      <t xml:space="preserve">
网络数据中心防火墙</t>
    </r>
    <r>
      <rPr>
        <sz val="10"/>
        <color rgb="FFFF0000"/>
        <rFont val="等线"/>
        <charset val="134"/>
      </rPr>
      <t xml:space="preserve">
安全防火墙等等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</si>
</sst>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¥&quot;#,##0.00"/>
    <numFmt numFmtId="177" formatCode="0.00_ "/>
    <numFmt numFmtId="178" formatCode="&quot;¥&quot;#,##0.00_);[Red]\(&quot;¥&quot;#,##0.00\)"/>
  </numFmts>
  <fonts count="26">
    <font>
      <sz val="10"/>
      <color theme="1"/>
      <name val="等线"/>
      <family val="2"/>
      <charset val="134"/>
      <scheme val="minor"/>
    </font>
    <font>
      <sz val="11"/>
      <name val="等线"/>
      <charset val="134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b/>
      <sz val="10"/>
      <name val="等线"/>
      <charset val="134"/>
    </font>
    <font>
      <sz val="10"/>
      <color rgb="FFFF0000"/>
      <name val="等线"/>
      <charset val="134"/>
    </font>
    <font>
      <sz val="10"/>
      <name val="等线"/>
      <charset val="134"/>
    </font>
    <font>
      <sz val="10"/>
      <name val="等线"/>
      <charset val="134"/>
    </font>
    <font>
      <sz val="10"/>
      <name val="等线"/>
      <charset val="134"/>
    </font>
    <font>
      <sz val="10"/>
      <name val="等线"/>
      <charset val="134"/>
    </font>
    <font>
      <sz val="10"/>
      <name val="等线"/>
      <charset val="134"/>
    </font>
    <font>
      <sz val="11"/>
      <name val="等线"/>
      <charset val="134"/>
    </font>
    <font>
      <sz val="10"/>
      <name val="等线"/>
      <charset val="134"/>
    </font>
    <font>
      <sz val="10"/>
      <name val="等线"/>
      <charset val="134"/>
    </font>
    <font>
      <sz val="10"/>
      <color rgb="FFFF0000"/>
      <name val="等线"/>
      <charset val="134"/>
    </font>
    <font>
      <sz val="11"/>
      <color rgb="FF0000FF"/>
      <name val="等线"/>
      <charset val="134"/>
    </font>
    <font>
      <sz val="11"/>
      <color rgb="FF00B050"/>
      <name val="等线"/>
      <charset val="134"/>
    </font>
    <font>
      <sz val="11"/>
      <color rgb="FF9A38D7"/>
      <name val="等线"/>
      <charset val="134"/>
    </font>
    <font>
      <sz val="11"/>
      <color rgb="FFF5C400"/>
      <name val="等线"/>
      <charset val="134"/>
    </font>
    <font>
      <sz val="11"/>
      <color rgb="FF9E1E1A"/>
      <name val="等线"/>
      <charset val="134"/>
    </font>
    <font>
      <sz val="10"/>
      <color rgb="FFFF0000"/>
      <name val="等线"/>
      <charset val="134"/>
    </font>
    <font>
      <sz val="11"/>
      <name val="Calibri"/>
    </font>
    <font>
      <sz val="10"/>
      <name val="等线"/>
      <charset val="134"/>
    </font>
    <font>
      <b/>
      <sz val="10"/>
      <color rgb="FFFF0000"/>
      <name val="等线"/>
      <charset val="134"/>
    </font>
    <font>
      <sz val="11"/>
      <color rgb="FF277C4F"/>
      <name val="等线"/>
      <charset val="134"/>
    </font>
    <font>
      <sz val="9"/>
      <name val="等线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3EAD5"/>
      </patternFill>
    </fill>
    <fill>
      <patternFill patternType="solid">
        <fgColor rgb="FFC3EAD5"/>
      </patternFill>
    </fill>
    <fill>
      <patternFill patternType="solid">
        <fgColor rgb="FFC6E0B4"/>
        <bgColor rgb="FF000000"/>
      </patternFill>
    </fill>
    <fill>
      <patternFill patternType="solid">
        <fgColor rgb="FFC6E0B4"/>
        <bgColor rgb="FF00000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2" xfId="0" applyFont="1" applyBorder="1">
      <alignment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6" borderId="5" xfId="0" applyFont="1" applyFill="1" applyBorder="1">
      <alignment vertical="center"/>
    </xf>
    <xf numFmtId="0" fontId="5" fillId="6" borderId="1" xfId="0" applyFont="1" applyFill="1" applyBorder="1" applyAlignment="1">
      <alignment vertical="center" wrapText="1"/>
    </xf>
    <xf numFmtId="10" fontId="3" fillId="7" borderId="1" xfId="0" applyNumberFormat="1" applyFont="1" applyFill="1" applyBorder="1" applyAlignment="1">
      <alignment vertical="center" wrapText="1"/>
    </xf>
    <xf numFmtId="0" fontId="3" fillId="6" borderId="1" xfId="0" applyFont="1" applyFill="1" applyBorder="1">
      <alignment vertical="center"/>
    </xf>
    <xf numFmtId="0" fontId="6" fillId="8" borderId="6" xfId="0" applyFont="1" applyFill="1" applyBorder="1">
      <alignment vertical="center"/>
    </xf>
    <xf numFmtId="0" fontId="7" fillId="8" borderId="6" xfId="0" applyFont="1" applyFill="1" applyBorder="1">
      <alignment vertical="center"/>
    </xf>
    <xf numFmtId="0" fontId="8" fillId="8" borderId="6" xfId="0" applyFont="1" applyFill="1" applyBorder="1">
      <alignment vertical="center"/>
    </xf>
    <xf numFmtId="0" fontId="1" fillId="4" borderId="7" xfId="0" applyFont="1" applyFill="1" applyBorder="1">
      <alignment vertical="center"/>
    </xf>
    <xf numFmtId="0" fontId="1" fillId="4" borderId="1" xfId="0" applyFont="1" applyFill="1" applyBorder="1">
      <alignment vertical="center"/>
    </xf>
    <xf numFmtId="176" fontId="1" fillId="4" borderId="7" xfId="0" applyNumberFormat="1" applyFont="1" applyFill="1" applyBorder="1">
      <alignment vertical="center"/>
    </xf>
    <xf numFmtId="0" fontId="1" fillId="4" borderId="7" xfId="0" applyFont="1" applyFill="1" applyBorder="1" applyAlignment="1">
      <alignment vertical="center" wrapText="1"/>
    </xf>
    <xf numFmtId="10" fontId="1" fillId="5" borderId="7" xfId="0" applyNumberFormat="1" applyFont="1" applyFill="1" applyBorder="1">
      <alignment vertical="center"/>
    </xf>
    <xf numFmtId="0" fontId="1" fillId="4" borderId="8" xfId="0" applyFont="1" applyFill="1" applyBorder="1">
      <alignment vertical="center"/>
    </xf>
    <xf numFmtId="0" fontId="1" fillId="0" borderId="9" xfId="0" applyFont="1" applyBorder="1">
      <alignment vertical="center"/>
    </xf>
    <xf numFmtId="0" fontId="2" fillId="0" borderId="3" xfId="0" applyFont="1" applyBorder="1">
      <alignment vertical="center"/>
    </xf>
    <xf numFmtId="0" fontId="1" fillId="0" borderId="10" xfId="0" applyFont="1" applyBorder="1">
      <alignment vertical="center"/>
    </xf>
    <xf numFmtId="176" fontId="1" fillId="0" borderId="3" xfId="0" applyNumberFormat="1" applyFont="1" applyBorder="1">
      <alignment vertical="center"/>
    </xf>
    <xf numFmtId="10" fontId="1" fillId="0" borderId="3" xfId="0" applyNumberFormat="1" applyFont="1" applyBorder="1">
      <alignment vertical="center"/>
    </xf>
    <xf numFmtId="177" fontId="1" fillId="0" borderId="3" xfId="0" applyNumberFormat="1" applyFont="1" applyBorder="1">
      <alignment vertical="center"/>
    </xf>
    <xf numFmtId="0" fontId="1" fillId="0" borderId="11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10" fontId="1" fillId="0" borderId="3" xfId="0" applyNumberFormat="1" applyFont="1" applyBorder="1" applyAlignment="1">
      <alignment horizontal="right" vertical="center"/>
    </xf>
    <xf numFmtId="0" fontId="1" fillId="0" borderId="3" xfId="0" applyFont="1" applyBorder="1">
      <alignment vertical="center"/>
    </xf>
    <xf numFmtId="0" fontId="2" fillId="0" borderId="3" xfId="0" applyFont="1" applyBorder="1">
      <alignment vertical="center"/>
    </xf>
    <xf numFmtId="0" fontId="10" fillId="0" borderId="1" xfId="0" applyFont="1" applyBorder="1">
      <alignment vertical="center"/>
    </xf>
    <xf numFmtId="10" fontId="1" fillId="0" borderId="3" xfId="0" applyNumberFormat="1" applyFont="1" applyBorder="1">
      <alignment vertical="center"/>
    </xf>
    <xf numFmtId="177" fontId="1" fillId="0" borderId="3" xfId="0" applyNumberFormat="1" applyFont="1" applyBorder="1">
      <alignment vertical="center"/>
    </xf>
    <xf numFmtId="0" fontId="1" fillId="0" borderId="12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1" fillId="0" borderId="3" xfId="0" applyFont="1" applyBorder="1">
      <alignment vertical="center"/>
    </xf>
    <xf numFmtId="0" fontId="11" fillId="0" borderId="2" xfId="0" applyFont="1" applyBorder="1">
      <alignment vertical="center"/>
    </xf>
    <xf numFmtId="0" fontId="1" fillId="0" borderId="13" xfId="0" applyFont="1" applyBorder="1">
      <alignment vertical="center"/>
    </xf>
    <xf numFmtId="176" fontId="1" fillId="0" borderId="13" xfId="0" applyNumberFormat="1" applyFont="1" applyBorder="1">
      <alignment vertical="center"/>
    </xf>
    <xf numFmtId="0" fontId="1" fillId="0" borderId="13" xfId="0" applyFont="1" applyBorder="1" applyAlignment="1">
      <alignment horizontal="right" vertical="center"/>
    </xf>
    <xf numFmtId="178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178" fontId="12" fillId="0" borderId="1" xfId="0" applyNumberFormat="1" applyFont="1" applyBorder="1">
      <alignment vertical="center"/>
    </xf>
    <xf numFmtId="176" fontId="10" fillId="0" borderId="1" xfId="0" applyNumberFormat="1" applyFont="1" applyBorder="1">
      <alignment vertical="center"/>
    </xf>
    <xf numFmtId="176" fontId="1" fillId="0" borderId="3" xfId="0" applyNumberFormat="1" applyFont="1" applyBorder="1" applyAlignment="1">
      <alignment horizontal="right" vertical="center"/>
    </xf>
    <xf numFmtId="0" fontId="9" fillId="0" borderId="3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14" xfId="0" applyFont="1" applyBorder="1">
      <alignment vertical="center"/>
    </xf>
    <xf numFmtId="176" fontId="1" fillId="0" borderId="14" xfId="0" applyNumberFormat="1" applyFont="1" applyBorder="1">
      <alignment vertical="center"/>
    </xf>
    <xf numFmtId="0" fontId="13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0" fontId="13" fillId="0" borderId="13" xfId="0" applyFont="1" applyBorder="1">
      <alignment vertical="center"/>
    </xf>
    <xf numFmtId="0" fontId="13" fillId="0" borderId="3" xfId="0" applyFont="1" applyBorder="1">
      <alignment vertical="center"/>
    </xf>
    <xf numFmtId="176" fontId="1" fillId="0" borderId="3" xfId="0" applyNumberFormat="1" applyFont="1" applyBorder="1">
      <alignment vertical="center"/>
    </xf>
    <xf numFmtId="176" fontId="1" fillId="0" borderId="13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1" fillId="0" borderId="3" xfId="0" applyFont="1" applyBorder="1" applyAlignment="1">
      <alignment vertical="center" wrapText="1"/>
    </xf>
    <xf numFmtId="176" fontId="1" fillId="0" borderId="3" xfId="0" applyNumberFormat="1" applyFont="1" applyBorder="1">
      <alignment vertical="center"/>
    </xf>
    <xf numFmtId="0" fontId="1" fillId="0" borderId="14" xfId="0" applyFont="1" applyBorder="1">
      <alignment vertical="center"/>
    </xf>
    <xf numFmtId="0" fontId="1" fillId="0" borderId="10" xfId="0" applyFont="1" applyBorder="1">
      <alignment vertical="center"/>
    </xf>
    <xf numFmtId="176" fontId="7" fillId="0" borderId="1" xfId="0" applyNumberFormat="1" applyFont="1" applyBorder="1">
      <alignment vertical="center"/>
    </xf>
    <xf numFmtId="0" fontId="0" fillId="0" borderId="5" xfId="0" applyBorder="1">
      <alignment vertical="center"/>
    </xf>
    <xf numFmtId="0" fontId="1" fillId="0" borderId="5" xfId="0" applyFont="1" applyBorder="1">
      <alignment vertical="center"/>
    </xf>
    <xf numFmtId="176" fontId="7" fillId="0" borderId="1" xfId="0" applyNumberFormat="1" applyFont="1" applyBorder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177" fontId="3" fillId="0" borderId="1" xfId="0" applyNumberFormat="1" applyFont="1" applyBorder="1">
      <alignment vertical="center"/>
    </xf>
    <xf numFmtId="0" fontId="14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0" fillId="0" borderId="15" xfId="0" applyBorder="1">
      <alignment vertical="center"/>
    </xf>
    <xf numFmtId="0" fontId="0" fillId="0" borderId="4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1" xfId="0" applyBorder="1">
      <alignment vertical="center"/>
    </xf>
    <xf numFmtId="0" fontId="0" fillId="0" borderId="17" xfId="0" applyBorder="1">
      <alignment vertical="center"/>
    </xf>
    <xf numFmtId="0" fontId="2" fillId="0" borderId="5" xfId="0" applyFont="1" applyBorder="1">
      <alignment vertical="center"/>
    </xf>
    <xf numFmtId="0" fontId="0" fillId="0" borderId="18" xfId="0" applyBorder="1">
      <alignment vertical="center"/>
    </xf>
    <xf numFmtId="4" fontId="0" fillId="0" borderId="5" xfId="0" applyNumberFormat="1" applyBorder="1">
      <alignment vertical="center"/>
    </xf>
    <xf numFmtId="0" fontId="14" fillId="0" borderId="18" xfId="0" applyFont="1" applyBorder="1">
      <alignment vertical="center"/>
    </xf>
    <xf numFmtId="0" fontId="4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15" fillId="0" borderId="10" xfId="0" applyFont="1" applyBorder="1">
      <alignment vertical="center"/>
    </xf>
    <xf numFmtId="0" fontId="15" fillId="0" borderId="10" xfId="0" applyFont="1" applyBorder="1">
      <alignment vertical="center"/>
    </xf>
    <xf numFmtId="0" fontId="15" fillId="0" borderId="10" xfId="0" applyFont="1" applyBorder="1" applyAlignment="1">
      <alignment vertical="center" wrapText="1"/>
    </xf>
    <xf numFmtId="0" fontId="16" fillId="0" borderId="10" xfId="0" applyFont="1" applyBorder="1">
      <alignment vertical="center"/>
    </xf>
    <xf numFmtId="0" fontId="17" fillId="0" borderId="1" xfId="0" applyFont="1" applyBorder="1">
      <alignment vertical="center"/>
    </xf>
    <xf numFmtId="0" fontId="17" fillId="0" borderId="10" xfId="0" applyFont="1" applyBorder="1">
      <alignment vertical="center"/>
    </xf>
    <xf numFmtId="0" fontId="18" fillId="0" borderId="1" xfId="0" applyFont="1" applyBorder="1">
      <alignment vertical="center"/>
    </xf>
    <xf numFmtId="0" fontId="18" fillId="0" borderId="10" xfId="0" applyFont="1" applyBorder="1">
      <alignment vertical="center"/>
    </xf>
    <xf numFmtId="0" fontId="19" fillId="0" borderId="1" xfId="0" applyFont="1" applyBorder="1">
      <alignment vertical="center"/>
    </xf>
    <xf numFmtId="0" fontId="19" fillId="0" borderId="10" xfId="0" applyFont="1" applyBorder="1">
      <alignment vertical="center"/>
    </xf>
    <xf numFmtId="0" fontId="15" fillId="0" borderId="7" xfId="0" applyFont="1" applyBorder="1">
      <alignment vertical="center"/>
    </xf>
    <xf numFmtId="0" fontId="18" fillId="0" borderId="7" xfId="0" applyFont="1" applyBorder="1">
      <alignment vertical="center"/>
    </xf>
    <xf numFmtId="0" fontId="17" fillId="0" borderId="7" xfId="0" applyFont="1" applyBorder="1">
      <alignment vertical="center"/>
    </xf>
    <xf numFmtId="0" fontId="19" fillId="0" borderId="7" xfId="0" applyFont="1" applyBorder="1">
      <alignment vertical="center"/>
    </xf>
    <xf numFmtId="0" fontId="15" fillId="0" borderId="8" xfId="0" applyFont="1" applyBorder="1">
      <alignment vertical="center"/>
    </xf>
    <xf numFmtId="0" fontId="0" fillId="0" borderId="0" xfId="0">
      <alignment vertical="center"/>
    </xf>
    <xf numFmtId="0" fontId="14" fillId="0" borderId="0" xfId="0" applyFont="1">
      <alignment vertical="center"/>
    </xf>
    <xf numFmtId="0" fontId="14" fillId="0" borderId="17" xfId="0" applyFont="1" applyBorder="1">
      <alignment vertical="center"/>
    </xf>
    <xf numFmtId="9" fontId="14" fillId="0" borderId="0" xfId="0" applyNumberFormat="1" applyFont="1">
      <alignment vertical="center"/>
    </xf>
    <xf numFmtId="0" fontId="0" fillId="0" borderId="19" xfId="0" applyBorder="1">
      <alignment vertical="center"/>
    </xf>
    <xf numFmtId="0" fontId="0" fillId="0" borderId="19" xfId="0" applyBorder="1">
      <alignment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0" fillId="0" borderId="1" xfId="0" applyFont="1" applyBorder="1">
      <alignment vertical="center"/>
    </xf>
    <xf numFmtId="0" fontId="21" fillId="0" borderId="20" xfId="0" applyFont="1" applyBorder="1">
      <alignment vertical="center"/>
    </xf>
    <xf numFmtId="0" fontId="14" fillId="0" borderId="5" xfId="0" applyFont="1" applyBorder="1" applyAlignment="1">
      <alignment vertical="center" wrapText="1"/>
    </xf>
    <xf numFmtId="0" fontId="14" fillId="9" borderId="5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17" xfId="0" applyFont="1" applyBorder="1" applyAlignment="1">
      <alignment vertical="center" wrapText="1"/>
    </xf>
    <xf numFmtId="0" fontId="22" fillId="0" borderId="5" xfId="0" applyFont="1" applyBorder="1" applyAlignment="1">
      <alignment vertical="center" wrapText="1"/>
    </xf>
    <xf numFmtId="0" fontId="0" fillId="9" borderId="5" xfId="0" applyFill="1" applyBorder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23" fillId="0" borderId="1" xfId="0" applyFont="1" applyBorder="1">
      <alignment vertical="center"/>
    </xf>
    <xf numFmtId="10" fontId="0" fillId="0" borderId="0" xfId="0" applyNumberFormat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0" fillId="0" borderId="5" xfId="0" applyBorder="1">
      <alignment vertical="center"/>
    </xf>
    <xf numFmtId="0" fontId="0" fillId="0" borderId="17" xfId="0" applyBorder="1">
      <alignment vertical="center"/>
    </xf>
    <xf numFmtId="0" fontId="0" fillId="0" borderId="7" xfId="0" applyBorder="1">
      <alignment vertical="center"/>
    </xf>
    <xf numFmtId="0" fontId="0" fillId="0" borderId="18" xfId="0" applyBorder="1">
      <alignment vertical="center"/>
    </xf>
    <xf numFmtId="10" fontId="0" fillId="0" borderId="18" xfId="0" applyNumberFormat="1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资产管理"/>
  <dimension ref="A1:V153"/>
  <sheetViews>
    <sheetView workbookViewId="0"/>
  </sheetViews>
  <sheetFormatPr defaultColWidth="13.7109375" defaultRowHeight="18" customHeight="1"/>
  <cols>
    <col min="1" max="1" width="22" customWidth="1"/>
    <col min="9" max="9" width="13.7109375" style="132"/>
    <col min="10" max="10" width="16.5703125" style="133" customWidth="1"/>
    <col min="11" max="14" width="13.7109375" style="132"/>
    <col min="15" max="15" width="13.7109375" style="5"/>
    <col min="17" max="17" width="13.7109375" hidden="1"/>
    <col min="18" max="18" width="26.42578125" style="92" hidden="1" customWidth="1"/>
    <col min="19" max="20" width="13.7109375" style="5"/>
    <col min="21" max="21" width="13.7109375" style="70"/>
    <col min="22" max="22" width="13.7109375" style="5"/>
  </cols>
  <sheetData>
    <row r="1" spans="1:22">
      <c r="A1" s="96" t="s">
        <v>208</v>
      </c>
      <c r="B1" s="96" t="s">
        <v>244</v>
      </c>
      <c r="C1" s="96" t="s">
        <v>245</v>
      </c>
      <c r="D1" s="96" t="s">
        <v>246</v>
      </c>
      <c r="E1" s="96" t="s">
        <v>209</v>
      </c>
      <c r="F1" s="96" t="s">
        <v>247</v>
      </c>
      <c r="G1" s="96" t="s">
        <v>248</v>
      </c>
      <c r="H1" s="96" t="s">
        <v>249</v>
      </c>
      <c r="I1" s="120" t="s">
        <v>250</v>
      </c>
      <c r="J1" s="120" t="s">
        <v>251</v>
      </c>
      <c r="K1" s="120" t="s">
        <v>252</v>
      </c>
      <c r="L1" s="120" t="s">
        <v>253</v>
      </c>
      <c r="M1" s="120" t="s">
        <v>254</v>
      </c>
      <c r="N1" s="121" t="s">
        <v>255</v>
      </c>
      <c r="O1" s="96" t="s">
        <v>256</v>
      </c>
      <c r="P1" s="122" t="s">
        <v>257</v>
      </c>
      <c r="Q1" s="96" t="s">
        <v>245</v>
      </c>
      <c r="R1" s="123" t="s">
        <v>258</v>
      </c>
      <c r="S1" s="96" t="s">
        <v>259</v>
      </c>
      <c r="T1" s="96" t="s">
        <v>260</v>
      </c>
      <c r="U1" s="123" t="s">
        <v>261</v>
      </c>
      <c r="V1" s="96" t="s">
        <v>262</v>
      </c>
    </row>
    <row r="2" spans="1:22">
      <c r="A2" s="124" t="s">
        <v>263</v>
      </c>
      <c r="B2" s="125" t="s">
        <v>264</v>
      </c>
      <c r="C2" s="126" t="s">
        <v>265</v>
      </c>
      <c r="D2" s="126" t="s">
        <v>266</v>
      </c>
      <c r="E2" s="126" t="s">
        <v>267</v>
      </c>
      <c r="F2" s="126" t="s">
        <v>268</v>
      </c>
      <c r="G2" s="126" t="s">
        <v>269</v>
      </c>
      <c r="H2" s="126" t="s">
        <v>270</v>
      </c>
      <c r="I2" s="127" t="s">
        <v>271</v>
      </c>
      <c r="J2" s="127" t="s">
        <v>272</v>
      </c>
      <c r="K2" s="127" t="s">
        <v>273</v>
      </c>
      <c r="L2" s="127">
        <v>200000</v>
      </c>
      <c r="M2" s="127">
        <v>60</v>
      </c>
      <c r="N2" s="127" t="s">
        <v>57</v>
      </c>
      <c r="O2" s="128"/>
      <c r="P2" s="129" t="s">
        <v>274</v>
      </c>
      <c r="Q2" s="126" t="s">
        <v>275</v>
      </c>
      <c r="R2" s="130" t="s">
        <v>281</v>
      </c>
      <c r="S2" s="128" t="s">
        <v>276</v>
      </c>
      <c r="T2" s="128" t="s">
        <v>277</v>
      </c>
      <c r="U2" s="128" t="s">
        <v>278</v>
      </c>
      <c r="V2" s="128" t="s">
        <v>279</v>
      </c>
    </row>
    <row r="3" spans="1:22">
      <c r="A3" s="5"/>
      <c r="B3" s="70"/>
      <c r="C3" s="70"/>
      <c r="D3" s="70"/>
      <c r="E3" s="70"/>
      <c r="F3" s="70"/>
      <c r="G3" s="70"/>
      <c r="H3" s="70"/>
      <c r="I3" s="131"/>
      <c r="J3" s="131"/>
      <c r="K3" s="131"/>
      <c r="L3" s="131"/>
      <c r="M3" s="131"/>
      <c r="N3" s="131"/>
      <c r="P3" s="90"/>
      <c r="Q3" s="70"/>
      <c r="R3" s="70"/>
    </row>
    <row r="4" spans="1:22">
      <c r="A4" s="5"/>
      <c r="B4" s="70"/>
      <c r="C4" s="70"/>
      <c r="D4" s="70"/>
      <c r="E4" s="70"/>
      <c r="F4" s="70"/>
      <c r="G4" s="70"/>
      <c r="H4" s="70"/>
      <c r="I4" s="131"/>
      <c r="J4" s="131"/>
      <c r="K4" s="131"/>
      <c r="L4" s="131"/>
      <c r="M4" s="131"/>
      <c r="N4" s="131"/>
      <c r="P4" s="90"/>
      <c r="Q4" s="70"/>
      <c r="R4" s="70"/>
    </row>
    <row r="5" spans="1:22">
      <c r="A5" s="5"/>
      <c r="B5" s="70"/>
      <c r="C5" s="70"/>
      <c r="D5" s="70"/>
      <c r="E5" s="70"/>
      <c r="F5" s="70"/>
      <c r="G5" s="70"/>
      <c r="H5" s="70"/>
      <c r="I5" s="131"/>
      <c r="J5" s="131"/>
      <c r="K5" s="131"/>
      <c r="L5" s="131"/>
      <c r="M5" s="131"/>
      <c r="N5" s="131"/>
      <c r="P5" s="90"/>
      <c r="Q5" s="70"/>
      <c r="R5" s="70"/>
    </row>
    <row r="6" spans="1:22">
      <c r="A6" s="5"/>
      <c r="B6" s="70"/>
      <c r="C6" s="70"/>
      <c r="D6" s="70"/>
      <c r="E6" s="70"/>
      <c r="F6" s="70"/>
      <c r="G6" s="70"/>
      <c r="H6" s="70"/>
      <c r="I6" s="131"/>
      <c r="J6" s="131"/>
      <c r="K6" s="131"/>
      <c r="L6" s="131"/>
      <c r="M6" s="131"/>
      <c r="N6" s="131"/>
      <c r="P6" s="90"/>
      <c r="Q6" s="70"/>
      <c r="R6" s="70"/>
    </row>
    <row r="7" spans="1:22">
      <c r="A7" s="5"/>
      <c r="B7" s="70"/>
      <c r="C7" s="70"/>
      <c r="D7" s="70"/>
      <c r="E7" s="70"/>
      <c r="F7" s="70"/>
      <c r="G7" s="70"/>
      <c r="H7" s="70"/>
      <c r="I7" s="131"/>
      <c r="J7" s="131"/>
      <c r="K7" s="131"/>
      <c r="L7" s="131"/>
      <c r="M7" s="131"/>
      <c r="N7" s="131"/>
      <c r="P7" s="90"/>
      <c r="Q7" s="70"/>
      <c r="R7" s="70"/>
    </row>
    <row r="8" spans="1:22">
      <c r="A8" s="5"/>
      <c r="B8" s="70"/>
      <c r="C8" s="70"/>
      <c r="D8" s="70"/>
      <c r="E8" s="70"/>
      <c r="F8" s="70"/>
      <c r="G8" s="70"/>
      <c r="H8" s="70"/>
      <c r="I8" s="131"/>
      <c r="J8" s="131"/>
      <c r="K8" s="131"/>
      <c r="L8" s="131"/>
      <c r="M8" s="131"/>
      <c r="N8" s="131"/>
      <c r="P8" s="90"/>
      <c r="Q8" s="70"/>
      <c r="R8" s="70"/>
    </row>
    <row r="9" spans="1:22">
      <c r="A9" s="5"/>
      <c r="B9" s="70"/>
      <c r="C9" s="70"/>
      <c r="D9" s="70"/>
      <c r="E9" s="70"/>
      <c r="F9" s="70"/>
      <c r="G9" s="70"/>
      <c r="H9" s="70"/>
      <c r="I9" s="131"/>
      <c r="J9" s="131"/>
      <c r="K9" s="131"/>
      <c r="L9" s="131"/>
      <c r="M9" s="131"/>
      <c r="N9" s="131"/>
      <c r="P9" s="90"/>
      <c r="Q9" s="70"/>
      <c r="R9" s="70"/>
    </row>
    <row r="10" spans="1:22">
      <c r="A10" s="5"/>
      <c r="B10" s="70"/>
      <c r="C10" s="70"/>
      <c r="D10" s="70"/>
      <c r="E10" s="70"/>
      <c r="F10" s="70"/>
      <c r="G10" s="70"/>
      <c r="H10" s="70"/>
      <c r="I10" s="131"/>
      <c r="J10" s="131"/>
      <c r="K10" s="131"/>
      <c r="L10" s="131"/>
      <c r="M10" s="131"/>
      <c r="N10" s="131"/>
      <c r="P10" s="90"/>
      <c r="Q10" s="70"/>
      <c r="R10" s="70"/>
    </row>
    <row r="11" spans="1:22">
      <c r="A11" s="5"/>
      <c r="B11" s="70"/>
      <c r="C11" s="70"/>
      <c r="D11" s="70"/>
      <c r="E11" s="70"/>
      <c r="F11" s="70"/>
      <c r="G11" s="70"/>
      <c r="H11" s="70"/>
      <c r="I11" s="131"/>
      <c r="J11" s="131"/>
      <c r="K11" s="131"/>
      <c r="L11" s="131"/>
      <c r="M11" s="131"/>
      <c r="N11" s="131"/>
      <c r="P11" s="90"/>
      <c r="Q11" s="70"/>
      <c r="R11" s="70"/>
    </row>
    <row r="12" spans="1:22">
      <c r="A12" s="5"/>
      <c r="B12" s="70"/>
      <c r="C12" s="70"/>
      <c r="D12" s="70"/>
      <c r="E12" s="70"/>
      <c r="F12" s="70"/>
      <c r="G12" s="70"/>
      <c r="H12" s="70"/>
      <c r="I12" s="131"/>
      <c r="J12" s="131"/>
      <c r="K12" s="131"/>
      <c r="L12" s="131"/>
      <c r="M12" s="131"/>
      <c r="N12" s="131"/>
      <c r="P12" s="90"/>
      <c r="Q12" s="70"/>
      <c r="R12" s="70"/>
    </row>
    <row r="13" spans="1:22">
      <c r="A13" s="5"/>
      <c r="B13" s="70"/>
      <c r="C13" s="70"/>
      <c r="D13" s="70"/>
      <c r="E13" s="70"/>
      <c r="F13" s="70"/>
      <c r="G13" s="70"/>
      <c r="H13" s="70"/>
      <c r="I13" s="131"/>
      <c r="J13" s="131"/>
      <c r="K13" s="131"/>
      <c r="L13" s="131"/>
      <c r="M13" s="131"/>
      <c r="N13" s="131"/>
      <c r="P13" s="90"/>
      <c r="Q13" s="70"/>
      <c r="R13" s="70"/>
    </row>
    <row r="14" spans="1:22">
      <c r="A14" s="5"/>
      <c r="B14" s="70"/>
      <c r="C14" s="70"/>
      <c r="D14" s="70"/>
      <c r="E14" s="70"/>
      <c r="F14" s="70"/>
      <c r="G14" s="70"/>
      <c r="H14" s="70"/>
      <c r="I14" s="131"/>
      <c r="J14" s="131"/>
      <c r="K14" s="131"/>
      <c r="L14" s="131"/>
      <c r="M14" s="131"/>
      <c r="N14" s="131"/>
      <c r="P14" s="90"/>
      <c r="Q14" s="70"/>
      <c r="R14" s="70"/>
    </row>
    <row r="15" spans="1:22">
      <c r="A15" s="5"/>
      <c r="B15" s="70"/>
      <c r="C15" s="70"/>
      <c r="D15" s="70"/>
      <c r="E15" s="70"/>
      <c r="F15" s="70"/>
      <c r="G15" s="70"/>
      <c r="H15" s="70"/>
      <c r="I15" s="131"/>
      <c r="J15" s="131"/>
      <c r="K15" s="131"/>
      <c r="L15" s="131"/>
      <c r="M15" s="131"/>
      <c r="N15" s="131"/>
      <c r="P15" s="90"/>
      <c r="Q15" s="70"/>
      <c r="R15" s="70"/>
    </row>
    <row r="16" spans="1:22">
      <c r="A16" s="5"/>
      <c r="B16" s="70"/>
      <c r="C16" s="70"/>
      <c r="D16" s="70"/>
      <c r="E16" s="70"/>
      <c r="F16" s="70"/>
      <c r="G16" s="70"/>
      <c r="H16" s="70"/>
      <c r="I16" s="131"/>
      <c r="J16" s="131"/>
      <c r="K16" s="131"/>
      <c r="L16" s="131"/>
      <c r="M16" s="131"/>
      <c r="N16" s="131"/>
      <c r="P16" s="90"/>
      <c r="Q16" s="70"/>
      <c r="R16" s="70"/>
    </row>
    <row r="17" spans="1:18">
      <c r="A17" s="5"/>
      <c r="B17" s="70"/>
      <c r="C17" s="70"/>
      <c r="D17" s="70"/>
      <c r="E17" s="70"/>
      <c r="F17" s="70"/>
      <c r="G17" s="70"/>
      <c r="H17" s="70"/>
      <c r="I17" s="131"/>
      <c r="J17" s="131"/>
      <c r="K17" s="131"/>
      <c r="L17" s="131"/>
      <c r="M17" s="131"/>
      <c r="N17" s="131"/>
      <c r="P17" s="90"/>
      <c r="Q17" s="70"/>
      <c r="R17" s="70"/>
    </row>
    <row r="18" spans="1:18">
      <c r="A18" s="5"/>
      <c r="B18" s="70"/>
      <c r="C18" s="70"/>
      <c r="D18" s="70"/>
      <c r="E18" s="70"/>
      <c r="F18" s="70"/>
      <c r="G18" s="70"/>
      <c r="H18" s="70"/>
      <c r="I18" s="131"/>
      <c r="J18" s="131"/>
      <c r="K18" s="131"/>
      <c r="L18" s="131"/>
      <c r="M18" s="131"/>
      <c r="N18" s="131"/>
      <c r="P18" s="90"/>
      <c r="Q18" s="70"/>
      <c r="R18" s="70"/>
    </row>
    <row r="19" spans="1:18">
      <c r="A19" s="5"/>
      <c r="B19" s="70"/>
      <c r="C19" s="70"/>
      <c r="D19" s="70"/>
      <c r="E19" s="70"/>
      <c r="F19" s="70"/>
      <c r="G19" s="70"/>
      <c r="H19" s="70"/>
      <c r="I19" s="131"/>
      <c r="J19" s="131"/>
      <c r="K19" s="131"/>
      <c r="L19" s="131"/>
      <c r="M19" s="131"/>
      <c r="N19" s="131"/>
      <c r="P19" s="90"/>
      <c r="Q19" s="70"/>
      <c r="R19" s="70"/>
    </row>
    <row r="20" spans="1:18">
      <c r="A20" s="5"/>
      <c r="B20" s="70"/>
      <c r="C20" s="70"/>
      <c r="D20" s="70"/>
      <c r="E20" s="70"/>
      <c r="F20" s="70"/>
      <c r="G20" s="70"/>
      <c r="H20" s="70"/>
      <c r="I20" s="131"/>
      <c r="J20" s="131"/>
      <c r="K20" s="131"/>
      <c r="L20" s="131"/>
      <c r="M20" s="131"/>
      <c r="N20" s="131"/>
      <c r="P20" s="90"/>
      <c r="Q20" s="70"/>
      <c r="R20" s="70"/>
    </row>
    <row r="21" spans="1:18">
      <c r="A21" s="5"/>
      <c r="B21" s="70"/>
      <c r="C21" s="70"/>
      <c r="D21" s="70"/>
      <c r="E21" s="70"/>
      <c r="F21" s="70"/>
      <c r="G21" s="70"/>
      <c r="H21" s="70"/>
      <c r="I21" s="131"/>
      <c r="J21" s="131"/>
      <c r="K21" s="131"/>
      <c r="L21" s="131"/>
      <c r="M21" s="131"/>
      <c r="N21" s="131"/>
      <c r="P21" s="90"/>
      <c r="Q21" s="70"/>
      <c r="R21" s="70"/>
    </row>
    <row r="22" spans="1:18">
      <c r="A22" s="5"/>
      <c r="B22" s="70"/>
      <c r="C22" s="70"/>
      <c r="D22" s="70"/>
      <c r="E22" s="70"/>
      <c r="F22" s="70"/>
      <c r="G22" s="70"/>
      <c r="H22" s="70"/>
      <c r="I22" s="131"/>
      <c r="J22" s="131"/>
      <c r="K22" s="131"/>
      <c r="L22" s="131"/>
      <c r="M22" s="131"/>
      <c r="N22" s="131"/>
      <c r="P22" s="90"/>
      <c r="Q22" s="70"/>
      <c r="R22" s="70"/>
    </row>
    <row r="23" spans="1:18">
      <c r="A23" s="5"/>
      <c r="B23" s="70"/>
      <c r="C23" s="70"/>
      <c r="D23" s="70"/>
      <c r="E23" s="70"/>
      <c r="F23" s="70"/>
      <c r="G23" s="70"/>
      <c r="H23" s="70"/>
      <c r="I23" s="131"/>
      <c r="J23" s="131"/>
      <c r="K23" s="131"/>
      <c r="L23" s="131"/>
      <c r="M23" s="131"/>
      <c r="N23" s="131"/>
      <c r="P23" s="90"/>
      <c r="Q23" s="70"/>
      <c r="R23" s="70"/>
    </row>
    <row r="24" spans="1:18">
      <c r="A24" s="5"/>
      <c r="B24" s="70"/>
      <c r="C24" s="70"/>
      <c r="D24" s="70"/>
      <c r="E24" s="70"/>
      <c r="F24" s="70"/>
      <c r="G24" s="70"/>
      <c r="H24" s="70"/>
      <c r="I24" s="131"/>
      <c r="J24" s="131"/>
      <c r="K24" s="131"/>
      <c r="L24" s="131"/>
      <c r="M24" s="131"/>
      <c r="N24" s="131"/>
      <c r="P24" s="90"/>
      <c r="Q24" s="70"/>
      <c r="R24" s="70"/>
    </row>
    <row r="25" spans="1:18">
      <c r="A25" s="5"/>
      <c r="B25" s="70"/>
      <c r="C25" s="70"/>
      <c r="D25" s="70"/>
      <c r="E25" s="70"/>
      <c r="F25" s="70"/>
      <c r="G25" s="70"/>
      <c r="H25" s="70"/>
      <c r="I25" s="131"/>
      <c r="J25" s="131"/>
      <c r="K25" s="131"/>
      <c r="L25" s="131"/>
      <c r="M25" s="131"/>
      <c r="N25" s="131"/>
      <c r="P25" s="90"/>
      <c r="Q25" s="70"/>
      <c r="R25" s="70"/>
    </row>
    <row r="26" spans="1:18">
      <c r="A26" s="5"/>
      <c r="B26" s="70"/>
      <c r="C26" s="70"/>
      <c r="D26" s="70"/>
      <c r="E26" s="70"/>
      <c r="F26" s="70"/>
      <c r="G26" s="70"/>
      <c r="H26" s="70"/>
      <c r="I26" s="131"/>
      <c r="J26" s="131"/>
      <c r="K26" s="131"/>
      <c r="L26" s="131"/>
      <c r="M26" s="131"/>
      <c r="N26" s="131"/>
      <c r="P26" s="90"/>
      <c r="Q26" s="70"/>
      <c r="R26" s="70"/>
    </row>
    <row r="27" spans="1:18">
      <c r="A27" s="5"/>
      <c r="B27" s="70"/>
      <c r="C27" s="70"/>
      <c r="D27" s="70"/>
      <c r="E27" s="70"/>
      <c r="F27" s="70"/>
      <c r="G27" s="70"/>
      <c r="H27" s="70"/>
      <c r="I27" s="131"/>
      <c r="J27" s="131"/>
      <c r="K27" s="131"/>
      <c r="L27" s="131"/>
      <c r="M27" s="131"/>
      <c r="N27" s="131"/>
      <c r="P27" s="90"/>
      <c r="Q27" s="70"/>
      <c r="R27" s="70"/>
    </row>
    <row r="28" spans="1:18">
      <c r="A28" s="5"/>
      <c r="B28" s="70"/>
      <c r="C28" s="70"/>
      <c r="D28" s="70"/>
      <c r="E28" s="70"/>
      <c r="F28" s="70"/>
      <c r="G28" s="70"/>
      <c r="H28" s="70"/>
      <c r="I28" s="131"/>
      <c r="J28" s="131"/>
      <c r="K28" s="131"/>
      <c r="L28" s="131"/>
      <c r="M28" s="131"/>
      <c r="N28" s="131"/>
      <c r="P28" s="90"/>
      <c r="Q28" s="70"/>
      <c r="R28" s="70"/>
    </row>
    <row r="29" spans="1:18">
      <c r="A29" s="5"/>
      <c r="B29" s="70"/>
      <c r="C29" s="70"/>
      <c r="D29" s="70"/>
      <c r="E29" s="70"/>
      <c r="F29" s="70"/>
      <c r="G29" s="70"/>
      <c r="H29" s="70"/>
      <c r="I29" s="131"/>
      <c r="J29" s="131"/>
      <c r="K29" s="131"/>
      <c r="L29" s="131"/>
      <c r="M29" s="131"/>
      <c r="N29" s="131"/>
      <c r="P29" s="90"/>
      <c r="Q29" s="70"/>
      <c r="R29" s="70"/>
    </row>
    <row r="30" spans="1:18">
      <c r="A30" s="5"/>
      <c r="B30" s="70"/>
      <c r="C30" s="70"/>
      <c r="D30" s="70"/>
      <c r="E30" s="70"/>
      <c r="F30" s="70"/>
      <c r="G30" s="70"/>
      <c r="H30" s="70"/>
      <c r="I30" s="131"/>
      <c r="J30" s="131"/>
      <c r="K30" s="131"/>
      <c r="L30" s="131"/>
      <c r="M30" s="131"/>
      <c r="N30" s="131"/>
      <c r="P30" s="90"/>
      <c r="Q30" s="70"/>
      <c r="R30" s="70"/>
    </row>
    <row r="31" spans="1:18">
      <c r="A31" s="5"/>
      <c r="B31" s="70"/>
      <c r="C31" s="70"/>
      <c r="D31" s="70"/>
      <c r="E31" s="70"/>
      <c r="F31" s="70"/>
      <c r="G31" s="70"/>
      <c r="H31" s="70"/>
      <c r="I31" s="131"/>
      <c r="J31" s="131"/>
      <c r="K31" s="131"/>
      <c r="L31" s="131"/>
      <c r="M31" s="131"/>
      <c r="N31" s="131"/>
      <c r="P31" s="90"/>
      <c r="Q31" s="70"/>
      <c r="R31" s="70"/>
    </row>
    <row r="32" spans="1:18">
      <c r="A32" s="5"/>
      <c r="B32" s="70"/>
      <c r="C32" s="70"/>
      <c r="D32" s="70"/>
      <c r="E32" s="70"/>
      <c r="F32" s="70"/>
      <c r="G32" s="70"/>
      <c r="H32" s="70"/>
      <c r="I32" s="131"/>
      <c r="J32" s="131"/>
      <c r="K32" s="131"/>
      <c r="L32" s="131"/>
      <c r="M32" s="131"/>
      <c r="N32" s="131"/>
      <c r="P32" s="90"/>
      <c r="Q32" s="70"/>
      <c r="R32" s="70"/>
    </row>
    <row r="33" spans="1:18">
      <c r="A33" s="5"/>
      <c r="B33" s="70"/>
      <c r="C33" s="70"/>
      <c r="D33" s="70"/>
      <c r="E33" s="70"/>
      <c r="F33" s="70"/>
      <c r="G33" s="70"/>
      <c r="H33" s="70"/>
      <c r="I33" s="131"/>
      <c r="J33" s="131"/>
      <c r="K33" s="131"/>
      <c r="L33" s="131"/>
      <c r="M33" s="131"/>
      <c r="N33" s="131"/>
      <c r="P33" s="90"/>
      <c r="Q33" s="70"/>
      <c r="R33" s="70"/>
    </row>
    <row r="34" spans="1:18">
      <c r="A34" s="5"/>
      <c r="B34" s="70"/>
      <c r="C34" s="70"/>
      <c r="D34" s="70"/>
      <c r="E34" s="70"/>
      <c r="F34" s="70"/>
      <c r="G34" s="70"/>
      <c r="H34" s="70"/>
      <c r="I34" s="131"/>
      <c r="J34" s="131"/>
      <c r="K34" s="131"/>
      <c r="L34" s="131"/>
      <c r="M34" s="131"/>
      <c r="N34" s="131"/>
      <c r="P34" s="90"/>
      <c r="Q34" s="70"/>
      <c r="R34" s="70"/>
    </row>
    <row r="35" spans="1:18">
      <c r="A35" s="5"/>
      <c r="B35" s="70"/>
      <c r="C35" s="70"/>
      <c r="D35" s="70"/>
      <c r="E35" s="70"/>
      <c r="F35" s="70"/>
      <c r="G35" s="70"/>
      <c r="H35" s="70"/>
      <c r="I35" s="131"/>
      <c r="J35" s="131"/>
      <c r="K35" s="131"/>
      <c r="L35" s="131"/>
      <c r="M35" s="131"/>
      <c r="N35" s="131"/>
      <c r="P35" s="90"/>
      <c r="Q35" s="70"/>
      <c r="R35" s="70"/>
    </row>
    <row r="36" spans="1:18">
      <c r="A36" s="5"/>
      <c r="B36" s="70"/>
      <c r="C36" s="70"/>
      <c r="D36" s="70"/>
      <c r="E36" s="70"/>
      <c r="F36" s="70"/>
      <c r="G36" s="70"/>
      <c r="H36" s="70"/>
      <c r="I36" s="131"/>
      <c r="J36" s="131"/>
      <c r="K36" s="131"/>
      <c r="L36" s="131"/>
      <c r="M36" s="131"/>
      <c r="N36" s="131"/>
      <c r="P36" s="90"/>
      <c r="Q36" s="70"/>
      <c r="R36" s="70"/>
    </row>
    <row r="37" spans="1:18">
      <c r="A37" s="5"/>
      <c r="B37" s="70"/>
      <c r="C37" s="70"/>
      <c r="D37" s="70"/>
      <c r="E37" s="70"/>
      <c r="F37" s="70"/>
      <c r="G37" s="70"/>
      <c r="H37" s="70"/>
      <c r="I37" s="131"/>
      <c r="J37" s="131"/>
      <c r="K37" s="131"/>
      <c r="L37" s="131"/>
      <c r="M37" s="131"/>
      <c r="N37" s="131"/>
      <c r="P37" s="90"/>
      <c r="Q37" s="70"/>
      <c r="R37" s="70"/>
    </row>
    <row r="38" spans="1:18">
      <c r="A38" s="5"/>
      <c r="B38" s="70"/>
      <c r="C38" s="70"/>
      <c r="D38" s="70"/>
      <c r="E38" s="70"/>
      <c r="F38" s="70"/>
      <c r="G38" s="70"/>
      <c r="H38" s="70"/>
      <c r="I38" s="131"/>
      <c r="J38" s="131"/>
      <c r="K38" s="131"/>
      <c r="L38" s="131"/>
      <c r="M38" s="131"/>
      <c r="N38" s="131"/>
      <c r="P38" s="90"/>
      <c r="Q38" s="70"/>
      <c r="R38" s="70"/>
    </row>
    <row r="39" spans="1:18">
      <c r="A39" s="5"/>
      <c r="B39" s="70"/>
      <c r="C39" s="70"/>
      <c r="D39" s="70"/>
      <c r="E39" s="70"/>
      <c r="F39" s="70"/>
      <c r="G39" s="70"/>
      <c r="H39" s="70"/>
      <c r="I39" s="131"/>
      <c r="J39" s="131"/>
      <c r="K39" s="131"/>
      <c r="L39" s="131"/>
      <c r="M39" s="131"/>
      <c r="N39" s="131"/>
      <c r="P39" s="90"/>
      <c r="Q39" s="70"/>
      <c r="R39" s="70"/>
    </row>
    <row r="40" spans="1:18">
      <c r="A40" s="5"/>
      <c r="B40" s="70"/>
      <c r="C40" s="70"/>
      <c r="D40" s="70"/>
      <c r="E40" s="70"/>
      <c r="F40" s="70"/>
      <c r="G40" s="70"/>
      <c r="H40" s="70"/>
      <c r="I40" s="131"/>
      <c r="J40" s="131"/>
      <c r="K40" s="131"/>
      <c r="L40" s="131"/>
      <c r="M40" s="131"/>
      <c r="N40" s="131"/>
      <c r="P40" s="90"/>
      <c r="Q40" s="70"/>
      <c r="R40" s="70"/>
    </row>
    <row r="41" spans="1:18">
      <c r="A41" s="5"/>
      <c r="B41" s="70"/>
      <c r="C41" s="70"/>
      <c r="D41" s="70"/>
      <c r="E41" s="70"/>
      <c r="F41" s="70"/>
      <c r="G41" s="70"/>
      <c r="H41" s="70"/>
      <c r="I41" s="131"/>
      <c r="J41" s="131"/>
      <c r="K41" s="131"/>
      <c r="L41" s="131"/>
      <c r="M41" s="131"/>
      <c r="N41" s="131"/>
      <c r="P41" s="90"/>
      <c r="Q41" s="70"/>
      <c r="R41" s="70"/>
    </row>
    <row r="42" spans="1:18">
      <c r="A42" s="5"/>
      <c r="B42" s="70"/>
      <c r="C42" s="70"/>
      <c r="D42" s="70"/>
      <c r="E42" s="70"/>
      <c r="F42" s="70"/>
      <c r="G42" s="70"/>
      <c r="H42" s="70"/>
      <c r="I42" s="131"/>
      <c r="J42" s="131"/>
      <c r="K42" s="131"/>
      <c r="L42" s="131"/>
      <c r="M42" s="131"/>
      <c r="N42" s="131"/>
      <c r="P42" s="90"/>
      <c r="Q42" s="70"/>
      <c r="R42" s="70"/>
    </row>
    <row r="43" spans="1:18">
      <c r="A43" s="5"/>
      <c r="B43" s="70"/>
      <c r="C43" s="70"/>
      <c r="D43" s="70"/>
      <c r="E43" s="70"/>
      <c r="F43" s="70"/>
      <c r="G43" s="70"/>
      <c r="H43" s="70"/>
      <c r="I43" s="131"/>
      <c r="J43" s="131"/>
      <c r="K43" s="131"/>
      <c r="L43" s="131"/>
      <c r="M43" s="131"/>
      <c r="N43" s="131"/>
      <c r="P43" s="90"/>
      <c r="Q43" s="70"/>
      <c r="R43" s="70"/>
    </row>
    <row r="44" spans="1:18">
      <c r="A44" s="5"/>
      <c r="B44" s="70"/>
      <c r="C44" s="70"/>
      <c r="D44" s="70"/>
      <c r="E44" s="70"/>
      <c r="F44" s="70"/>
      <c r="G44" s="70"/>
      <c r="H44" s="70"/>
      <c r="I44" s="131"/>
      <c r="J44" s="131"/>
      <c r="K44" s="131"/>
      <c r="L44" s="131"/>
      <c r="M44" s="131"/>
      <c r="N44" s="131"/>
      <c r="P44" s="90"/>
      <c r="Q44" s="70"/>
      <c r="R44" s="70"/>
    </row>
    <row r="45" spans="1:18">
      <c r="A45" s="5"/>
      <c r="B45" s="70"/>
      <c r="C45" s="70"/>
      <c r="D45" s="70"/>
      <c r="E45" s="70"/>
      <c r="F45" s="70"/>
      <c r="G45" s="70"/>
      <c r="H45" s="70"/>
      <c r="I45" s="131"/>
      <c r="J45" s="131"/>
      <c r="K45" s="131"/>
      <c r="L45" s="131"/>
      <c r="M45" s="131"/>
      <c r="N45" s="131"/>
      <c r="P45" s="90"/>
      <c r="Q45" s="70"/>
      <c r="R45" s="70"/>
    </row>
    <row r="46" spans="1:18">
      <c r="A46" s="5"/>
      <c r="B46" s="70"/>
      <c r="C46" s="70"/>
      <c r="D46" s="70"/>
      <c r="E46" s="70"/>
      <c r="F46" s="70"/>
      <c r="G46" s="70"/>
      <c r="H46" s="70"/>
      <c r="I46" s="131"/>
      <c r="J46" s="131"/>
      <c r="K46" s="131"/>
      <c r="L46" s="131"/>
      <c r="M46" s="131"/>
      <c r="N46" s="131"/>
      <c r="P46" s="90"/>
      <c r="Q46" s="70"/>
      <c r="R46" s="70"/>
    </row>
    <row r="47" spans="1:18">
      <c r="A47" s="5"/>
      <c r="B47" s="70"/>
      <c r="C47" s="70"/>
      <c r="D47" s="70"/>
      <c r="E47" s="70"/>
      <c r="F47" s="70"/>
      <c r="G47" s="70"/>
      <c r="H47" s="70"/>
      <c r="I47" s="131"/>
      <c r="J47" s="131"/>
      <c r="K47" s="131"/>
      <c r="L47" s="131"/>
      <c r="M47" s="131"/>
      <c r="N47" s="131"/>
      <c r="P47" s="90"/>
      <c r="Q47" s="70"/>
      <c r="R47" s="70"/>
    </row>
    <row r="48" spans="1:18">
      <c r="A48" s="5"/>
      <c r="B48" s="70"/>
      <c r="C48" s="70"/>
      <c r="D48" s="70"/>
      <c r="E48" s="70"/>
      <c r="F48" s="70"/>
      <c r="G48" s="70"/>
      <c r="H48" s="70"/>
      <c r="I48" s="131"/>
      <c r="J48" s="131"/>
      <c r="K48" s="131"/>
      <c r="L48" s="131"/>
      <c r="M48" s="131"/>
      <c r="N48" s="131"/>
      <c r="P48" s="90"/>
      <c r="Q48" s="70"/>
      <c r="R48" s="70"/>
    </row>
    <row r="49" spans="1:18">
      <c r="A49" s="5"/>
      <c r="B49" s="70"/>
      <c r="C49" s="70"/>
      <c r="D49" s="70"/>
      <c r="E49" s="70"/>
      <c r="F49" s="70"/>
      <c r="G49" s="70"/>
      <c r="H49" s="70"/>
      <c r="I49" s="131"/>
      <c r="J49" s="131"/>
      <c r="K49" s="131"/>
      <c r="L49" s="131"/>
      <c r="M49" s="131"/>
      <c r="N49" s="131"/>
      <c r="P49" s="90"/>
      <c r="Q49" s="70"/>
      <c r="R49" s="70"/>
    </row>
    <row r="50" spans="1:18">
      <c r="A50" s="5"/>
      <c r="B50" s="70"/>
      <c r="C50" s="70"/>
      <c r="D50" s="70"/>
      <c r="E50" s="70"/>
      <c r="F50" s="70"/>
      <c r="G50" s="70"/>
      <c r="H50" s="70"/>
      <c r="I50" s="131"/>
      <c r="J50" s="131"/>
      <c r="K50" s="131"/>
      <c r="L50" s="131"/>
      <c r="M50" s="131"/>
      <c r="N50" s="131"/>
      <c r="P50" s="90"/>
      <c r="Q50" s="70"/>
      <c r="R50" s="70"/>
    </row>
    <row r="51" spans="1:18">
      <c r="A51" s="5"/>
      <c r="B51" s="70"/>
      <c r="C51" s="70"/>
      <c r="D51" s="70"/>
      <c r="E51" s="70"/>
      <c r="F51" s="70"/>
      <c r="G51" s="70"/>
      <c r="H51" s="70"/>
      <c r="I51" s="131"/>
      <c r="J51" s="131"/>
      <c r="K51" s="131"/>
      <c r="L51" s="131"/>
      <c r="M51" s="131"/>
      <c r="N51" s="131"/>
      <c r="P51" s="90"/>
      <c r="Q51" s="70"/>
      <c r="R51" s="70"/>
    </row>
    <row r="52" spans="1:18">
      <c r="A52" s="5"/>
      <c r="B52" s="70"/>
      <c r="C52" s="70"/>
      <c r="D52" s="70"/>
      <c r="E52" s="70"/>
      <c r="F52" s="70"/>
      <c r="G52" s="70"/>
      <c r="H52" s="70"/>
      <c r="I52" s="131"/>
      <c r="J52" s="131"/>
      <c r="K52" s="131"/>
      <c r="L52" s="131"/>
      <c r="M52" s="131"/>
      <c r="N52" s="131"/>
      <c r="P52" s="90"/>
      <c r="Q52" s="70"/>
      <c r="R52" s="70"/>
    </row>
    <row r="53" spans="1:18">
      <c r="A53" s="5"/>
      <c r="B53" s="70"/>
      <c r="C53" s="70"/>
      <c r="D53" s="70"/>
      <c r="E53" s="70"/>
      <c r="F53" s="70"/>
      <c r="G53" s="70"/>
      <c r="H53" s="70"/>
      <c r="I53" s="131"/>
      <c r="J53" s="131"/>
      <c r="K53" s="131"/>
      <c r="L53" s="131"/>
      <c r="M53" s="131"/>
      <c r="N53" s="131"/>
      <c r="P53" s="90"/>
      <c r="Q53" s="70"/>
      <c r="R53" s="70"/>
    </row>
    <row r="54" spans="1:18">
      <c r="A54" s="5"/>
      <c r="B54" s="70"/>
      <c r="C54" s="70"/>
      <c r="D54" s="70"/>
      <c r="E54" s="70"/>
      <c r="F54" s="70"/>
      <c r="G54" s="70"/>
      <c r="H54" s="70"/>
      <c r="I54" s="131"/>
      <c r="J54" s="131"/>
      <c r="K54" s="131"/>
      <c r="L54" s="131"/>
      <c r="M54" s="131"/>
      <c r="N54" s="131"/>
      <c r="P54" s="90"/>
      <c r="Q54" s="70"/>
      <c r="R54" s="70"/>
    </row>
    <row r="55" spans="1:18">
      <c r="A55" s="5"/>
      <c r="B55" s="70"/>
      <c r="C55" s="70"/>
      <c r="D55" s="70"/>
      <c r="E55" s="70"/>
      <c r="F55" s="70"/>
      <c r="G55" s="70"/>
      <c r="H55" s="70"/>
      <c r="I55" s="131"/>
      <c r="J55" s="131"/>
      <c r="K55" s="131"/>
      <c r="L55" s="131"/>
      <c r="M55" s="131"/>
      <c r="N55" s="131"/>
      <c r="P55" s="90"/>
      <c r="Q55" s="70"/>
      <c r="R55" s="70"/>
    </row>
    <row r="56" spans="1:18">
      <c r="A56" s="5"/>
      <c r="B56" s="70"/>
      <c r="C56" s="70"/>
      <c r="D56" s="70"/>
      <c r="E56" s="70"/>
      <c r="F56" s="70"/>
      <c r="G56" s="70"/>
      <c r="H56" s="70"/>
      <c r="I56" s="131"/>
      <c r="J56" s="131"/>
      <c r="K56" s="131"/>
      <c r="L56" s="131"/>
      <c r="M56" s="131"/>
      <c r="N56" s="131"/>
      <c r="P56" s="90"/>
      <c r="Q56" s="70"/>
      <c r="R56" s="70"/>
    </row>
    <row r="57" spans="1:18">
      <c r="A57" s="5"/>
      <c r="B57" s="70"/>
      <c r="C57" s="70"/>
      <c r="D57" s="70"/>
      <c r="E57" s="70"/>
      <c r="F57" s="70"/>
      <c r="G57" s="70"/>
      <c r="H57" s="70"/>
      <c r="I57" s="131"/>
      <c r="J57" s="131"/>
      <c r="K57" s="131"/>
      <c r="L57" s="131"/>
      <c r="M57" s="131"/>
      <c r="N57" s="131"/>
      <c r="P57" s="90"/>
      <c r="Q57" s="70"/>
      <c r="R57" s="70"/>
    </row>
    <row r="58" spans="1:18">
      <c r="A58" s="5"/>
      <c r="B58" s="70"/>
      <c r="C58" s="70"/>
      <c r="D58" s="70"/>
      <c r="E58" s="70"/>
      <c r="F58" s="70"/>
      <c r="G58" s="70"/>
      <c r="H58" s="70"/>
      <c r="I58" s="131"/>
      <c r="J58" s="131"/>
      <c r="K58" s="131"/>
      <c r="L58" s="131"/>
      <c r="M58" s="131"/>
      <c r="N58" s="131"/>
      <c r="P58" s="90"/>
      <c r="Q58" s="70"/>
      <c r="R58" s="70"/>
    </row>
    <row r="59" spans="1:18">
      <c r="A59" s="5"/>
      <c r="B59" s="70"/>
      <c r="C59" s="70"/>
      <c r="D59" s="70"/>
      <c r="E59" s="70"/>
      <c r="F59" s="70"/>
      <c r="G59" s="70"/>
      <c r="H59" s="70"/>
      <c r="I59" s="131"/>
      <c r="J59" s="131"/>
      <c r="K59" s="131"/>
      <c r="L59" s="131"/>
      <c r="M59" s="131"/>
      <c r="N59" s="131"/>
      <c r="P59" s="90"/>
      <c r="Q59" s="70"/>
      <c r="R59" s="70"/>
    </row>
    <row r="60" spans="1:18">
      <c r="A60" s="5"/>
      <c r="B60" s="70"/>
      <c r="C60" s="70"/>
      <c r="D60" s="70"/>
      <c r="E60" s="70"/>
      <c r="F60" s="70"/>
      <c r="G60" s="70"/>
      <c r="H60" s="70"/>
      <c r="I60" s="131"/>
      <c r="J60" s="131"/>
      <c r="K60" s="131"/>
      <c r="L60" s="131"/>
      <c r="M60" s="131"/>
      <c r="N60" s="131"/>
      <c r="P60" s="90"/>
      <c r="Q60" s="70"/>
      <c r="R60" s="70"/>
    </row>
    <row r="61" spans="1:18">
      <c r="A61" s="5"/>
      <c r="B61" s="70"/>
      <c r="C61" s="70"/>
      <c r="D61" s="70"/>
      <c r="E61" s="70"/>
      <c r="F61" s="70"/>
      <c r="G61" s="70"/>
      <c r="H61" s="70"/>
      <c r="I61" s="131"/>
      <c r="J61" s="131"/>
      <c r="K61" s="131"/>
      <c r="L61" s="131"/>
      <c r="M61" s="131"/>
      <c r="N61" s="131"/>
      <c r="P61" s="90"/>
      <c r="Q61" s="70"/>
      <c r="R61" s="70"/>
    </row>
    <row r="62" spans="1:18">
      <c r="A62" s="5"/>
      <c r="B62" s="70"/>
      <c r="C62" s="70"/>
      <c r="D62" s="70"/>
      <c r="E62" s="70"/>
      <c r="F62" s="70"/>
      <c r="G62" s="70"/>
      <c r="H62" s="70"/>
      <c r="I62" s="131"/>
      <c r="J62" s="131"/>
      <c r="K62" s="131"/>
      <c r="L62" s="131"/>
      <c r="M62" s="131"/>
      <c r="N62" s="131"/>
      <c r="P62" s="90"/>
      <c r="Q62" s="70"/>
      <c r="R62" s="70"/>
    </row>
    <row r="63" spans="1:18">
      <c r="A63" s="5"/>
      <c r="B63" s="70"/>
      <c r="C63" s="70"/>
      <c r="D63" s="70"/>
      <c r="E63" s="70"/>
      <c r="F63" s="70"/>
      <c r="G63" s="70"/>
      <c r="H63" s="70"/>
      <c r="I63" s="131"/>
      <c r="J63" s="131"/>
      <c r="K63" s="131"/>
      <c r="L63" s="131"/>
      <c r="M63" s="131"/>
      <c r="N63" s="131"/>
      <c r="P63" s="90"/>
      <c r="Q63" s="70"/>
      <c r="R63" s="70"/>
    </row>
    <row r="64" spans="1:18">
      <c r="A64" s="5"/>
      <c r="B64" s="70"/>
      <c r="C64" s="70"/>
      <c r="D64" s="70"/>
      <c r="E64" s="70"/>
      <c r="F64" s="70"/>
      <c r="G64" s="70"/>
      <c r="H64" s="70"/>
      <c r="I64" s="131"/>
      <c r="J64" s="131"/>
      <c r="K64" s="131"/>
      <c r="L64" s="131"/>
      <c r="M64" s="131"/>
      <c r="N64" s="131"/>
      <c r="P64" s="90"/>
      <c r="Q64" s="70"/>
      <c r="R64" s="70"/>
    </row>
    <row r="65" spans="1:18">
      <c r="A65" s="5"/>
      <c r="B65" s="70"/>
      <c r="C65" s="70"/>
      <c r="D65" s="70"/>
      <c r="E65" s="70"/>
      <c r="F65" s="70"/>
      <c r="G65" s="70"/>
      <c r="H65" s="70"/>
      <c r="I65" s="131"/>
      <c r="J65" s="131"/>
      <c r="K65" s="131"/>
      <c r="L65" s="131"/>
      <c r="M65" s="131"/>
      <c r="N65" s="131"/>
      <c r="P65" s="90"/>
      <c r="Q65" s="70"/>
      <c r="R65" s="70"/>
    </row>
    <row r="66" spans="1:18">
      <c r="A66" s="5"/>
      <c r="B66" s="70"/>
      <c r="C66" s="70"/>
      <c r="D66" s="70"/>
      <c r="E66" s="70"/>
      <c r="F66" s="70"/>
      <c r="G66" s="70"/>
      <c r="H66" s="70"/>
      <c r="I66" s="131"/>
      <c r="J66" s="131"/>
      <c r="K66" s="131"/>
      <c r="L66" s="131"/>
      <c r="M66" s="131"/>
      <c r="N66" s="131"/>
      <c r="P66" s="90"/>
      <c r="Q66" s="70"/>
      <c r="R66" s="70"/>
    </row>
    <row r="67" spans="1:18">
      <c r="A67" s="5"/>
      <c r="B67" s="70"/>
      <c r="C67" s="70"/>
      <c r="D67" s="70"/>
      <c r="E67" s="70"/>
      <c r="F67" s="70"/>
      <c r="G67" s="70"/>
      <c r="H67" s="70"/>
      <c r="I67" s="131"/>
      <c r="J67" s="131"/>
      <c r="K67" s="131"/>
      <c r="L67" s="131"/>
      <c r="M67" s="131"/>
      <c r="N67" s="131"/>
      <c r="P67" s="90"/>
      <c r="Q67" s="70"/>
      <c r="R67" s="70"/>
    </row>
    <row r="68" spans="1:18">
      <c r="A68" s="5"/>
      <c r="B68" s="70"/>
      <c r="C68" s="70"/>
      <c r="D68" s="70"/>
      <c r="E68" s="70"/>
      <c r="F68" s="70"/>
      <c r="G68" s="70"/>
      <c r="H68" s="70"/>
      <c r="I68" s="131"/>
      <c r="J68" s="131"/>
      <c r="K68" s="131"/>
      <c r="L68" s="131"/>
      <c r="M68" s="131"/>
      <c r="N68" s="131"/>
      <c r="P68" s="90"/>
      <c r="Q68" s="70"/>
      <c r="R68" s="70"/>
    </row>
    <row r="69" spans="1:18">
      <c r="A69" s="5"/>
      <c r="B69" s="70"/>
      <c r="C69" s="70"/>
      <c r="D69" s="70"/>
      <c r="E69" s="70"/>
      <c r="F69" s="70"/>
      <c r="G69" s="70"/>
      <c r="H69" s="70"/>
      <c r="I69" s="131"/>
      <c r="J69" s="131"/>
      <c r="K69" s="131"/>
      <c r="L69" s="131"/>
      <c r="M69" s="131"/>
      <c r="N69" s="131"/>
      <c r="P69" s="90"/>
      <c r="Q69" s="70"/>
      <c r="R69" s="70"/>
    </row>
    <row r="70" spans="1:18">
      <c r="A70" s="5"/>
      <c r="B70" s="70"/>
      <c r="C70" s="70"/>
      <c r="D70" s="70"/>
      <c r="E70" s="70"/>
      <c r="F70" s="70"/>
      <c r="G70" s="70"/>
      <c r="H70" s="70"/>
      <c r="I70" s="131"/>
      <c r="J70" s="131"/>
      <c r="K70" s="131"/>
      <c r="L70" s="131"/>
      <c r="M70" s="131"/>
      <c r="N70" s="131"/>
      <c r="P70" s="90"/>
      <c r="Q70" s="70"/>
      <c r="R70" s="70"/>
    </row>
    <row r="71" spans="1:18">
      <c r="A71" s="5"/>
      <c r="B71" s="70"/>
      <c r="C71" s="70"/>
      <c r="D71" s="70"/>
      <c r="E71" s="70"/>
      <c r="F71" s="70"/>
      <c r="G71" s="70"/>
      <c r="H71" s="70"/>
      <c r="I71" s="131"/>
      <c r="J71" s="131"/>
      <c r="K71" s="131"/>
      <c r="L71" s="131"/>
      <c r="M71" s="131"/>
      <c r="N71" s="131"/>
      <c r="P71" s="90"/>
      <c r="Q71" s="70"/>
      <c r="R71" s="70"/>
    </row>
    <row r="72" spans="1:18">
      <c r="A72" s="5"/>
      <c r="B72" s="70"/>
      <c r="C72" s="70"/>
      <c r="D72" s="70"/>
      <c r="E72" s="70"/>
      <c r="F72" s="70"/>
      <c r="G72" s="70"/>
      <c r="H72" s="70"/>
      <c r="I72" s="131"/>
      <c r="J72" s="131"/>
      <c r="K72" s="131"/>
      <c r="L72" s="131"/>
      <c r="M72" s="131"/>
      <c r="N72" s="131"/>
      <c r="P72" s="90"/>
      <c r="Q72" s="70"/>
      <c r="R72" s="70"/>
    </row>
    <row r="73" spans="1:18">
      <c r="A73" s="5"/>
      <c r="B73" s="70"/>
      <c r="C73" s="70"/>
      <c r="D73" s="70"/>
      <c r="E73" s="70"/>
      <c r="F73" s="70"/>
      <c r="G73" s="70"/>
      <c r="H73" s="70"/>
      <c r="I73" s="131"/>
      <c r="J73" s="131"/>
      <c r="K73" s="131"/>
      <c r="L73" s="131"/>
      <c r="M73" s="131"/>
      <c r="N73" s="131"/>
      <c r="P73" s="90"/>
      <c r="Q73" s="70"/>
      <c r="R73" s="70"/>
    </row>
    <row r="74" spans="1:18">
      <c r="A74" s="5"/>
      <c r="B74" s="70"/>
      <c r="C74" s="70"/>
      <c r="D74" s="70"/>
      <c r="E74" s="70"/>
      <c r="F74" s="70"/>
      <c r="G74" s="70"/>
      <c r="H74" s="70"/>
      <c r="I74" s="131"/>
      <c r="J74" s="131"/>
      <c r="K74" s="131"/>
      <c r="L74" s="131"/>
      <c r="M74" s="131"/>
      <c r="N74" s="131"/>
      <c r="P74" s="90"/>
      <c r="Q74" s="70"/>
      <c r="R74" s="70"/>
    </row>
    <row r="75" spans="1:18">
      <c r="A75" s="5"/>
      <c r="B75" s="70"/>
      <c r="C75" s="70"/>
      <c r="D75" s="70"/>
      <c r="E75" s="70"/>
      <c r="F75" s="70"/>
      <c r="G75" s="70"/>
      <c r="H75" s="70"/>
      <c r="I75" s="131"/>
      <c r="J75" s="131"/>
      <c r="K75" s="131"/>
      <c r="L75" s="131"/>
      <c r="M75" s="131"/>
      <c r="N75" s="131"/>
      <c r="P75" s="90"/>
      <c r="Q75" s="70"/>
      <c r="R75" s="70"/>
    </row>
    <row r="76" spans="1:18">
      <c r="A76" s="5"/>
      <c r="B76" s="70"/>
      <c r="C76" s="70"/>
      <c r="D76" s="70"/>
      <c r="E76" s="70"/>
      <c r="F76" s="70"/>
      <c r="G76" s="70"/>
      <c r="H76" s="70"/>
      <c r="I76" s="131"/>
      <c r="J76" s="131"/>
      <c r="K76" s="131"/>
      <c r="L76" s="131"/>
      <c r="M76" s="131"/>
      <c r="N76" s="131"/>
      <c r="P76" s="90"/>
      <c r="Q76" s="70"/>
      <c r="R76" s="70"/>
    </row>
    <row r="77" spans="1:18">
      <c r="A77" s="5"/>
      <c r="B77" s="70"/>
      <c r="C77" s="70"/>
      <c r="D77" s="70"/>
      <c r="E77" s="70"/>
      <c r="F77" s="70"/>
      <c r="G77" s="70"/>
      <c r="H77" s="70"/>
      <c r="I77" s="131"/>
      <c r="J77" s="131"/>
      <c r="K77" s="131"/>
      <c r="L77" s="131"/>
      <c r="M77" s="131"/>
      <c r="N77" s="131"/>
      <c r="P77" s="90"/>
      <c r="Q77" s="70"/>
      <c r="R77" s="70"/>
    </row>
    <row r="78" spans="1:18">
      <c r="A78" s="5"/>
      <c r="B78" s="70"/>
      <c r="C78" s="70"/>
      <c r="D78" s="70"/>
      <c r="E78" s="70"/>
      <c r="F78" s="70"/>
      <c r="G78" s="70"/>
      <c r="H78" s="70"/>
      <c r="I78" s="131"/>
      <c r="J78" s="131"/>
      <c r="K78" s="131"/>
      <c r="L78" s="131"/>
      <c r="M78" s="131"/>
      <c r="N78" s="131"/>
      <c r="P78" s="90"/>
      <c r="Q78" s="70"/>
      <c r="R78" s="70"/>
    </row>
    <row r="79" spans="1:18">
      <c r="A79" s="5"/>
      <c r="B79" s="70"/>
      <c r="C79" s="70"/>
      <c r="D79" s="70"/>
      <c r="E79" s="70"/>
      <c r="F79" s="70"/>
      <c r="G79" s="70"/>
      <c r="H79" s="70"/>
      <c r="I79" s="131"/>
      <c r="J79" s="131"/>
      <c r="K79" s="131"/>
      <c r="L79" s="131"/>
      <c r="M79" s="131"/>
      <c r="N79" s="131"/>
      <c r="P79" s="90"/>
      <c r="Q79" s="70"/>
      <c r="R79" s="70"/>
    </row>
    <row r="80" spans="1:18">
      <c r="A80" s="5"/>
      <c r="B80" s="70"/>
      <c r="C80" s="70"/>
      <c r="D80" s="70"/>
      <c r="E80" s="70"/>
      <c r="F80" s="70"/>
      <c r="G80" s="70"/>
      <c r="H80" s="70"/>
      <c r="I80" s="131"/>
      <c r="J80" s="131"/>
      <c r="K80" s="131"/>
      <c r="L80" s="131"/>
      <c r="M80" s="131"/>
      <c r="N80" s="131"/>
      <c r="P80" s="90"/>
      <c r="Q80" s="70"/>
      <c r="R80" s="70"/>
    </row>
    <row r="81" spans="1:18">
      <c r="A81" s="5"/>
      <c r="B81" s="70"/>
      <c r="C81" s="70"/>
      <c r="D81" s="70"/>
      <c r="E81" s="70"/>
      <c r="F81" s="70"/>
      <c r="G81" s="70"/>
      <c r="H81" s="70"/>
      <c r="I81" s="131"/>
      <c r="J81" s="131"/>
      <c r="K81" s="131"/>
      <c r="L81" s="131"/>
      <c r="M81" s="131"/>
      <c r="N81" s="131"/>
      <c r="P81" s="90"/>
      <c r="Q81" s="70"/>
      <c r="R81" s="70"/>
    </row>
    <row r="82" spans="1:18">
      <c r="A82" s="5"/>
      <c r="B82" s="70"/>
      <c r="C82" s="70"/>
      <c r="D82" s="70"/>
      <c r="E82" s="70"/>
      <c r="F82" s="70"/>
      <c r="G82" s="70"/>
      <c r="H82" s="70"/>
      <c r="I82" s="131"/>
      <c r="J82" s="131"/>
      <c r="K82" s="131"/>
      <c r="L82" s="131"/>
      <c r="M82" s="131"/>
      <c r="N82" s="131"/>
      <c r="P82" s="90"/>
      <c r="Q82" s="70"/>
      <c r="R82" s="70"/>
    </row>
    <row r="83" spans="1:18">
      <c r="A83" s="5"/>
      <c r="B83" s="70"/>
      <c r="C83" s="70"/>
      <c r="D83" s="70"/>
      <c r="E83" s="70"/>
      <c r="F83" s="70"/>
      <c r="G83" s="70"/>
      <c r="H83" s="70"/>
      <c r="I83" s="131"/>
      <c r="J83" s="131"/>
      <c r="K83" s="131"/>
      <c r="L83" s="131"/>
      <c r="M83" s="131"/>
      <c r="N83" s="131"/>
      <c r="P83" s="90"/>
      <c r="Q83" s="70"/>
      <c r="R83" s="70"/>
    </row>
    <row r="84" spans="1:18">
      <c r="A84" s="5"/>
      <c r="B84" s="70"/>
      <c r="C84" s="70"/>
      <c r="D84" s="70"/>
      <c r="E84" s="70"/>
      <c r="F84" s="70"/>
      <c r="G84" s="70"/>
      <c r="H84" s="70"/>
      <c r="I84" s="131"/>
      <c r="J84" s="131"/>
      <c r="K84" s="131"/>
      <c r="L84" s="131"/>
      <c r="M84" s="131"/>
      <c r="N84" s="131"/>
      <c r="P84" s="90"/>
      <c r="Q84" s="70"/>
      <c r="R84" s="70"/>
    </row>
    <row r="85" spans="1:18">
      <c r="A85" s="5"/>
      <c r="B85" s="70"/>
      <c r="C85" s="70"/>
      <c r="D85" s="70"/>
      <c r="E85" s="70"/>
      <c r="F85" s="70"/>
      <c r="G85" s="70"/>
      <c r="H85" s="70"/>
      <c r="I85" s="131"/>
      <c r="J85" s="131"/>
      <c r="K85" s="131"/>
      <c r="L85" s="131"/>
      <c r="M85" s="131"/>
      <c r="N85" s="131"/>
      <c r="P85" s="90"/>
      <c r="Q85" s="70"/>
      <c r="R85" s="70"/>
    </row>
    <row r="86" spans="1:18">
      <c r="A86" s="5"/>
      <c r="B86" s="70"/>
      <c r="C86" s="70"/>
      <c r="D86" s="70"/>
      <c r="E86" s="70"/>
      <c r="F86" s="70"/>
      <c r="G86" s="70"/>
      <c r="H86" s="70"/>
      <c r="I86" s="131"/>
      <c r="J86" s="131"/>
      <c r="K86" s="131"/>
      <c r="L86" s="131"/>
      <c r="M86" s="131"/>
      <c r="N86" s="131"/>
      <c r="P86" s="90"/>
      <c r="Q86" s="70"/>
      <c r="R86" s="70"/>
    </row>
    <row r="87" spans="1:18">
      <c r="A87" s="5"/>
      <c r="B87" s="70"/>
      <c r="C87" s="70"/>
      <c r="D87" s="70"/>
      <c r="E87" s="70"/>
      <c r="F87" s="70"/>
      <c r="G87" s="70"/>
      <c r="H87" s="70"/>
      <c r="I87" s="131"/>
      <c r="J87" s="131"/>
      <c r="K87" s="131"/>
      <c r="L87" s="131"/>
      <c r="M87" s="131"/>
      <c r="N87" s="131"/>
      <c r="P87" s="90"/>
      <c r="Q87" s="70"/>
      <c r="R87" s="70"/>
    </row>
    <row r="88" spans="1:18">
      <c r="A88" s="5"/>
      <c r="B88" s="70"/>
      <c r="C88" s="70"/>
      <c r="D88" s="70"/>
      <c r="E88" s="70"/>
      <c r="F88" s="70"/>
      <c r="G88" s="70"/>
      <c r="H88" s="70"/>
      <c r="I88" s="131"/>
      <c r="J88" s="131"/>
      <c r="K88" s="131"/>
      <c r="L88" s="131"/>
      <c r="M88" s="131"/>
      <c r="N88" s="131"/>
      <c r="P88" s="90"/>
      <c r="Q88" s="70"/>
      <c r="R88" s="70"/>
    </row>
    <row r="89" spans="1:18">
      <c r="A89" s="5"/>
      <c r="B89" s="70"/>
      <c r="C89" s="70"/>
      <c r="D89" s="70"/>
      <c r="E89" s="70"/>
      <c r="F89" s="70"/>
      <c r="G89" s="70"/>
      <c r="H89" s="70"/>
      <c r="I89" s="131"/>
      <c r="J89" s="131"/>
      <c r="K89" s="131"/>
      <c r="L89" s="131"/>
      <c r="M89" s="131"/>
      <c r="N89" s="131"/>
      <c r="P89" s="90"/>
      <c r="Q89" s="70"/>
      <c r="R89" s="70"/>
    </row>
    <row r="90" spans="1:18">
      <c r="A90" s="5"/>
      <c r="B90" s="70"/>
      <c r="C90" s="70"/>
      <c r="D90" s="70"/>
      <c r="E90" s="70"/>
      <c r="F90" s="70"/>
      <c r="G90" s="70"/>
      <c r="H90" s="70"/>
      <c r="I90" s="131"/>
      <c r="J90" s="131"/>
      <c r="K90" s="131"/>
      <c r="L90" s="131"/>
      <c r="M90" s="131"/>
      <c r="N90" s="131"/>
      <c r="P90" s="90"/>
      <c r="Q90" s="70"/>
      <c r="R90" s="70"/>
    </row>
    <row r="91" spans="1:18">
      <c r="A91" s="5"/>
      <c r="B91" s="70"/>
      <c r="C91" s="70"/>
      <c r="D91" s="70"/>
      <c r="E91" s="70"/>
      <c r="F91" s="70"/>
      <c r="G91" s="70"/>
      <c r="H91" s="70"/>
      <c r="I91" s="131"/>
      <c r="J91" s="131"/>
      <c r="K91" s="131"/>
      <c r="L91" s="131"/>
      <c r="M91" s="131"/>
      <c r="N91" s="131"/>
      <c r="P91" s="90"/>
      <c r="Q91" s="70"/>
      <c r="R91" s="70"/>
    </row>
    <row r="92" spans="1:18">
      <c r="A92" s="5"/>
      <c r="B92" s="70"/>
      <c r="C92" s="70"/>
      <c r="D92" s="70"/>
      <c r="E92" s="70"/>
      <c r="F92" s="70"/>
      <c r="G92" s="70"/>
      <c r="H92" s="70"/>
      <c r="I92" s="131"/>
      <c r="J92" s="131"/>
      <c r="K92" s="131"/>
      <c r="L92" s="131"/>
      <c r="M92" s="131"/>
      <c r="N92" s="131"/>
      <c r="P92" s="90"/>
      <c r="Q92" s="70"/>
      <c r="R92" s="70"/>
    </row>
    <row r="93" spans="1:18">
      <c r="A93" s="5"/>
      <c r="B93" s="70"/>
      <c r="C93" s="70"/>
      <c r="D93" s="70"/>
      <c r="E93" s="70"/>
      <c r="F93" s="70"/>
      <c r="G93" s="70"/>
      <c r="H93" s="70"/>
      <c r="I93" s="131"/>
      <c r="J93" s="131"/>
      <c r="K93" s="131"/>
      <c r="L93" s="131"/>
      <c r="M93" s="131"/>
      <c r="N93" s="131"/>
      <c r="P93" s="90"/>
      <c r="Q93" s="70"/>
      <c r="R93" s="70"/>
    </row>
    <row r="94" spans="1:18">
      <c r="A94" s="5"/>
      <c r="B94" s="70"/>
      <c r="C94" s="70"/>
      <c r="D94" s="70"/>
      <c r="E94" s="70"/>
      <c r="F94" s="70"/>
      <c r="G94" s="70"/>
      <c r="H94" s="70"/>
      <c r="I94" s="131"/>
      <c r="J94" s="131"/>
      <c r="K94" s="131"/>
      <c r="L94" s="131"/>
      <c r="M94" s="131"/>
      <c r="N94" s="131"/>
      <c r="P94" s="90"/>
      <c r="Q94" s="70"/>
      <c r="R94" s="70"/>
    </row>
    <row r="95" spans="1:18">
      <c r="A95" s="5"/>
      <c r="B95" s="70"/>
      <c r="C95" s="70"/>
      <c r="D95" s="70"/>
      <c r="E95" s="70"/>
      <c r="F95" s="70"/>
      <c r="G95" s="70"/>
      <c r="H95" s="70"/>
      <c r="I95" s="131"/>
      <c r="J95" s="131"/>
      <c r="K95" s="131"/>
      <c r="L95" s="131"/>
      <c r="M95" s="131"/>
      <c r="N95" s="131"/>
      <c r="P95" s="90"/>
      <c r="Q95" s="70"/>
      <c r="R95" s="70"/>
    </row>
    <row r="96" spans="1:18">
      <c r="A96" s="5"/>
      <c r="B96" s="70"/>
      <c r="C96" s="70"/>
      <c r="D96" s="70"/>
      <c r="E96" s="70"/>
      <c r="F96" s="70"/>
      <c r="G96" s="70"/>
      <c r="H96" s="70"/>
      <c r="I96" s="131"/>
      <c r="J96" s="131"/>
      <c r="K96" s="131"/>
      <c r="L96" s="131"/>
      <c r="M96" s="131"/>
      <c r="N96" s="131"/>
      <c r="P96" s="90"/>
      <c r="Q96" s="70"/>
      <c r="R96" s="70"/>
    </row>
    <row r="97" spans="1:18">
      <c r="A97" s="5"/>
      <c r="B97" s="70"/>
      <c r="C97" s="70"/>
      <c r="D97" s="70"/>
      <c r="E97" s="70"/>
      <c r="F97" s="70"/>
      <c r="G97" s="70"/>
      <c r="H97" s="70"/>
      <c r="I97" s="131"/>
      <c r="J97" s="131"/>
      <c r="K97" s="131"/>
      <c r="L97" s="131"/>
      <c r="M97" s="131"/>
      <c r="N97" s="131"/>
      <c r="P97" s="90"/>
      <c r="Q97" s="70"/>
      <c r="R97" s="70"/>
    </row>
    <row r="98" spans="1:18">
      <c r="A98" s="5"/>
      <c r="B98" s="70"/>
      <c r="C98" s="70"/>
      <c r="D98" s="70"/>
      <c r="E98" s="70"/>
      <c r="F98" s="70"/>
      <c r="G98" s="70"/>
      <c r="H98" s="70"/>
      <c r="I98" s="131"/>
      <c r="J98" s="131"/>
      <c r="K98" s="131"/>
      <c r="L98" s="131"/>
      <c r="M98" s="131"/>
      <c r="N98" s="131"/>
      <c r="P98" s="90"/>
      <c r="Q98" s="70"/>
      <c r="R98" s="70"/>
    </row>
    <row r="99" spans="1:18">
      <c r="A99" s="5"/>
      <c r="B99" s="70"/>
      <c r="C99" s="70"/>
      <c r="D99" s="70"/>
      <c r="E99" s="70"/>
      <c r="F99" s="70"/>
      <c r="G99" s="70"/>
      <c r="H99" s="70"/>
      <c r="I99" s="131"/>
      <c r="J99" s="131"/>
      <c r="K99" s="131"/>
      <c r="L99" s="131"/>
      <c r="M99" s="131"/>
      <c r="N99" s="131"/>
      <c r="P99" s="90"/>
      <c r="Q99" s="70"/>
      <c r="R99" s="70"/>
    </row>
    <row r="100" spans="1:18">
      <c r="A100" s="5"/>
      <c r="B100" s="70"/>
      <c r="C100" s="70"/>
      <c r="D100" s="70"/>
      <c r="E100" s="70"/>
      <c r="F100" s="70"/>
      <c r="G100" s="70"/>
      <c r="H100" s="70"/>
      <c r="I100" s="131"/>
      <c r="J100" s="131"/>
      <c r="K100" s="131"/>
      <c r="L100" s="131"/>
      <c r="M100" s="131"/>
      <c r="N100" s="131"/>
      <c r="P100" s="90"/>
      <c r="Q100" s="70"/>
      <c r="R100" s="70"/>
    </row>
    <row r="101" spans="1:18">
      <c r="A101" s="5"/>
      <c r="B101" s="70"/>
      <c r="C101" s="70"/>
      <c r="D101" s="70"/>
      <c r="E101" s="70"/>
      <c r="F101" s="70"/>
      <c r="G101" s="70"/>
      <c r="H101" s="70"/>
      <c r="I101" s="131"/>
      <c r="J101" s="131"/>
      <c r="K101" s="131"/>
      <c r="L101" s="131"/>
      <c r="M101" s="131"/>
      <c r="N101" s="131"/>
      <c r="P101" s="90"/>
      <c r="Q101" s="70"/>
      <c r="R101" s="70"/>
    </row>
    <row r="102" spans="1:18">
      <c r="A102" s="5"/>
      <c r="B102" s="70"/>
      <c r="C102" s="70"/>
      <c r="D102" s="70"/>
      <c r="E102" s="70"/>
      <c r="F102" s="70"/>
      <c r="G102" s="70"/>
      <c r="H102" s="70"/>
      <c r="I102" s="131"/>
      <c r="J102" s="131"/>
      <c r="K102" s="131"/>
      <c r="L102" s="131"/>
      <c r="M102" s="131"/>
      <c r="N102" s="131"/>
      <c r="P102" s="90"/>
      <c r="Q102" s="70"/>
      <c r="R102" s="70"/>
    </row>
    <row r="103" spans="1:18">
      <c r="A103" s="5"/>
      <c r="B103" s="70"/>
      <c r="C103" s="70"/>
      <c r="D103" s="70"/>
      <c r="E103" s="70"/>
      <c r="F103" s="70"/>
      <c r="G103" s="70"/>
      <c r="H103" s="70"/>
      <c r="I103" s="131"/>
      <c r="J103" s="131"/>
      <c r="K103" s="131"/>
      <c r="L103" s="131"/>
      <c r="M103" s="131"/>
      <c r="N103" s="131"/>
      <c r="P103" s="90"/>
      <c r="Q103" s="70"/>
      <c r="R103" s="70"/>
    </row>
    <row r="104" spans="1:18">
      <c r="A104" s="5"/>
      <c r="B104" s="70"/>
      <c r="C104" s="70"/>
      <c r="D104" s="70"/>
      <c r="E104" s="70"/>
      <c r="F104" s="70"/>
      <c r="G104" s="70"/>
      <c r="H104" s="70"/>
      <c r="I104" s="131"/>
      <c r="J104" s="131"/>
      <c r="K104" s="131"/>
      <c r="L104" s="131"/>
      <c r="M104" s="131"/>
      <c r="N104" s="131"/>
      <c r="P104" s="90"/>
      <c r="Q104" s="70"/>
      <c r="R104" s="70"/>
    </row>
    <row r="105" spans="1:18">
      <c r="A105" s="5"/>
      <c r="B105" s="70"/>
      <c r="C105" s="70"/>
      <c r="D105" s="70"/>
      <c r="E105" s="70"/>
      <c r="F105" s="70"/>
      <c r="G105" s="70"/>
      <c r="H105" s="70"/>
      <c r="I105" s="131"/>
      <c r="J105" s="131"/>
      <c r="K105" s="131"/>
      <c r="L105" s="131"/>
      <c r="M105" s="131"/>
      <c r="N105" s="131"/>
      <c r="P105" s="90"/>
      <c r="Q105" s="70"/>
      <c r="R105" s="70"/>
    </row>
    <row r="106" spans="1:18">
      <c r="A106" s="5"/>
      <c r="B106" s="70"/>
      <c r="C106" s="70"/>
      <c r="D106" s="70"/>
      <c r="E106" s="70"/>
      <c r="F106" s="70"/>
      <c r="G106" s="70"/>
      <c r="H106" s="70"/>
      <c r="I106" s="131"/>
      <c r="J106" s="131"/>
      <c r="K106" s="131"/>
      <c r="L106" s="131"/>
      <c r="M106" s="131"/>
      <c r="N106" s="131"/>
      <c r="P106" s="90"/>
      <c r="Q106" s="70"/>
      <c r="R106" s="70"/>
    </row>
    <row r="107" spans="1:18">
      <c r="A107" s="5"/>
      <c r="B107" s="70"/>
      <c r="C107" s="70"/>
      <c r="D107" s="70"/>
      <c r="E107" s="70"/>
      <c r="F107" s="70"/>
      <c r="G107" s="70"/>
      <c r="H107" s="70"/>
      <c r="I107" s="131"/>
      <c r="J107" s="131"/>
      <c r="K107" s="131"/>
      <c r="L107" s="131"/>
      <c r="M107" s="131"/>
      <c r="N107" s="131"/>
      <c r="P107" s="90"/>
      <c r="Q107" s="70"/>
      <c r="R107" s="70"/>
    </row>
    <row r="108" spans="1:18">
      <c r="A108" s="5"/>
      <c r="B108" s="70"/>
      <c r="C108" s="70"/>
      <c r="D108" s="70"/>
      <c r="E108" s="70"/>
      <c r="F108" s="70"/>
      <c r="G108" s="70"/>
      <c r="H108" s="70"/>
      <c r="I108" s="131"/>
      <c r="J108" s="131"/>
      <c r="K108" s="131"/>
      <c r="L108" s="131"/>
      <c r="M108" s="131"/>
      <c r="N108" s="131"/>
      <c r="P108" s="90"/>
      <c r="Q108" s="70"/>
      <c r="R108" s="70"/>
    </row>
    <row r="109" spans="1:18">
      <c r="A109" s="5"/>
      <c r="B109" s="70"/>
      <c r="C109" s="70"/>
      <c r="D109" s="70"/>
      <c r="E109" s="70"/>
      <c r="F109" s="70"/>
      <c r="G109" s="70"/>
      <c r="H109" s="70"/>
      <c r="I109" s="131"/>
      <c r="J109" s="131"/>
      <c r="K109" s="131"/>
      <c r="L109" s="131"/>
      <c r="M109" s="131"/>
      <c r="N109" s="131"/>
      <c r="P109" s="90"/>
      <c r="Q109" s="70"/>
      <c r="R109" s="70"/>
    </row>
    <row r="110" spans="1:18">
      <c r="A110" s="5"/>
      <c r="B110" s="70"/>
      <c r="C110" s="70"/>
      <c r="D110" s="70"/>
      <c r="E110" s="70"/>
      <c r="F110" s="70"/>
      <c r="G110" s="70"/>
      <c r="H110" s="70"/>
      <c r="I110" s="131"/>
      <c r="J110" s="131"/>
      <c r="K110" s="131"/>
      <c r="L110" s="131"/>
      <c r="M110" s="131"/>
      <c r="N110" s="131"/>
      <c r="P110" s="90"/>
      <c r="Q110" s="70"/>
      <c r="R110" s="70"/>
    </row>
    <row r="111" spans="1:18">
      <c r="A111" s="5"/>
      <c r="B111" s="70"/>
      <c r="C111" s="70"/>
      <c r="D111" s="70"/>
      <c r="E111" s="70"/>
      <c r="F111" s="70"/>
      <c r="G111" s="70"/>
      <c r="H111" s="70"/>
      <c r="I111" s="131"/>
      <c r="J111" s="131"/>
      <c r="K111" s="131"/>
      <c r="L111" s="131"/>
      <c r="M111" s="131"/>
      <c r="N111" s="131"/>
      <c r="P111" s="90"/>
      <c r="Q111" s="70"/>
      <c r="R111" s="70"/>
    </row>
    <row r="112" spans="1:18">
      <c r="A112" s="5"/>
      <c r="B112" s="70"/>
      <c r="C112" s="70"/>
      <c r="D112" s="70"/>
      <c r="E112" s="70"/>
      <c r="F112" s="70"/>
      <c r="G112" s="70"/>
      <c r="H112" s="70"/>
      <c r="I112" s="131"/>
      <c r="J112" s="131"/>
      <c r="K112" s="131"/>
      <c r="L112" s="131"/>
      <c r="M112" s="131"/>
      <c r="N112" s="131"/>
      <c r="P112" s="90"/>
      <c r="Q112" s="70"/>
      <c r="R112" s="70"/>
    </row>
    <row r="113" spans="1:18">
      <c r="A113" s="5"/>
      <c r="B113" s="70"/>
      <c r="C113" s="70"/>
      <c r="D113" s="70"/>
      <c r="E113" s="70"/>
      <c r="F113" s="70"/>
      <c r="G113" s="70"/>
      <c r="H113" s="70"/>
      <c r="I113" s="131"/>
      <c r="J113" s="131"/>
      <c r="K113" s="131"/>
      <c r="L113" s="131"/>
      <c r="M113" s="131"/>
      <c r="N113" s="131"/>
      <c r="P113" s="90"/>
      <c r="Q113" s="70"/>
      <c r="R113" s="70"/>
    </row>
    <row r="114" spans="1:18">
      <c r="A114" s="5"/>
      <c r="B114" s="70"/>
      <c r="C114" s="70"/>
      <c r="D114" s="70"/>
      <c r="E114" s="70"/>
      <c r="F114" s="70"/>
      <c r="G114" s="70"/>
      <c r="H114" s="70"/>
      <c r="I114" s="131"/>
      <c r="J114" s="131"/>
      <c r="K114" s="131"/>
      <c r="L114" s="131"/>
      <c r="M114" s="131"/>
      <c r="N114" s="131"/>
      <c r="P114" s="90"/>
      <c r="Q114" s="70"/>
      <c r="R114" s="70"/>
    </row>
    <row r="115" spans="1:18">
      <c r="A115" s="5"/>
      <c r="B115" s="70"/>
      <c r="C115" s="70"/>
      <c r="D115" s="70"/>
      <c r="E115" s="70"/>
      <c r="F115" s="70"/>
      <c r="G115" s="70"/>
      <c r="H115" s="70"/>
      <c r="I115" s="131"/>
      <c r="J115" s="131"/>
      <c r="K115" s="131"/>
      <c r="L115" s="131"/>
      <c r="M115" s="131"/>
      <c r="N115" s="131"/>
      <c r="P115" s="90"/>
      <c r="Q115" s="70"/>
      <c r="R115" s="70"/>
    </row>
    <row r="116" spans="1:18">
      <c r="A116" s="5"/>
      <c r="B116" s="70"/>
      <c r="C116" s="70"/>
      <c r="D116" s="70"/>
      <c r="E116" s="70"/>
      <c r="F116" s="70"/>
      <c r="G116" s="70"/>
      <c r="H116" s="70"/>
      <c r="I116" s="131"/>
      <c r="J116" s="131"/>
      <c r="K116" s="131"/>
      <c r="L116" s="131"/>
      <c r="M116" s="131"/>
      <c r="N116" s="131"/>
      <c r="P116" s="90"/>
      <c r="Q116" s="70"/>
      <c r="R116" s="70"/>
    </row>
    <row r="117" spans="1:18">
      <c r="A117" s="5"/>
      <c r="B117" s="70"/>
      <c r="C117" s="70"/>
      <c r="D117" s="70"/>
      <c r="E117" s="70"/>
      <c r="F117" s="70"/>
      <c r="G117" s="70"/>
      <c r="H117" s="70"/>
      <c r="I117" s="131"/>
      <c r="J117" s="131"/>
      <c r="K117" s="131"/>
      <c r="L117" s="131"/>
      <c r="M117" s="131"/>
      <c r="N117" s="131"/>
      <c r="P117" s="90"/>
      <c r="Q117" s="70"/>
      <c r="R117" s="70"/>
    </row>
    <row r="118" spans="1:18">
      <c r="A118" s="5"/>
      <c r="B118" s="70"/>
      <c r="C118" s="70"/>
      <c r="D118" s="70"/>
      <c r="E118" s="70"/>
      <c r="F118" s="70"/>
      <c r="G118" s="70"/>
      <c r="H118" s="70"/>
      <c r="I118" s="131"/>
      <c r="J118" s="131"/>
      <c r="K118" s="131"/>
      <c r="L118" s="131"/>
      <c r="M118" s="131"/>
      <c r="N118" s="131"/>
      <c r="P118" s="90"/>
      <c r="Q118" s="70"/>
      <c r="R118" s="70"/>
    </row>
    <row r="119" spans="1:18">
      <c r="A119" s="5"/>
      <c r="B119" s="70"/>
      <c r="C119" s="70"/>
      <c r="D119" s="70"/>
      <c r="E119" s="70"/>
      <c r="F119" s="70"/>
      <c r="G119" s="70"/>
      <c r="H119" s="70"/>
      <c r="I119" s="131"/>
      <c r="J119" s="131"/>
      <c r="K119" s="131"/>
      <c r="L119" s="131"/>
      <c r="M119" s="131"/>
      <c r="N119" s="131"/>
      <c r="P119" s="90"/>
      <c r="Q119" s="70"/>
      <c r="R119" s="70"/>
    </row>
    <row r="120" spans="1:18">
      <c r="A120" s="5"/>
      <c r="B120" s="70"/>
      <c r="C120" s="70"/>
      <c r="D120" s="70"/>
      <c r="E120" s="70"/>
      <c r="F120" s="70"/>
      <c r="G120" s="70"/>
      <c r="H120" s="70"/>
      <c r="I120" s="131"/>
      <c r="J120" s="131"/>
      <c r="K120" s="131"/>
      <c r="L120" s="131"/>
      <c r="M120" s="131"/>
      <c r="N120" s="131"/>
      <c r="P120" s="90"/>
      <c r="Q120" s="70"/>
      <c r="R120" s="70"/>
    </row>
    <row r="121" spans="1:18">
      <c r="A121" s="5"/>
      <c r="B121" s="70"/>
      <c r="C121" s="70"/>
      <c r="D121" s="70"/>
      <c r="E121" s="70"/>
      <c r="F121" s="70"/>
      <c r="G121" s="70"/>
      <c r="H121" s="70"/>
      <c r="I121" s="131"/>
      <c r="J121" s="131"/>
      <c r="K121" s="131"/>
      <c r="L121" s="131"/>
      <c r="M121" s="131"/>
      <c r="N121" s="131"/>
      <c r="P121" s="90"/>
      <c r="Q121" s="70"/>
      <c r="R121" s="70"/>
    </row>
    <row r="122" spans="1:18">
      <c r="A122" s="5"/>
      <c r="B122" s="70"/>
      <c r="C122" s="70"/>
      <c r="D122" s="70"/>
      <c r="E122" s="70"/>
      <c r="F122" s="70"/>
      <c r="G122" s="70"/>
      <c r="H122" s="70"/>
      <c r="I122" s="131"/>
      <c r="J122" s="131"/>
      <c r="K122" s="131"/>
      <c r="L122" s="131"/>
      <c r="M122" s="131"/>
      <c r="N122" s="131"/>
      <c r="P122" s="90"/>
      <c r="Q122" s="70"/>
      <c r="R122" s="70"/>
    </row>
    <row r="123" spans="1:18">
      <c r="A123" s="5"/>
      <c r="B123" s="70"/>
      <c r="C123" s="70"/>
      <c r="D123" s="70"/>
      <c r="E123" s="70"/>
      <c r="F123" s="70"/>
      <c r="G123" s="70"/>
      <c r="H123" s="70"/>
      <c r="I123" s="131"/>
      <c r="J123" s="131"/>
      <c r="K123" s="131"/>
      <c r="L123" s="131"/>
      <c r="M123" s="131"/>
      <c r="N123" s="131"/>
      <c r="P123" s="90"/>
      <c r="Q123" s="70"/>
      <c r="R123" s="70"/>
    </row>
    <row r="124" spans="1:18">
      <c r="A124" s="5"/>
      <c r="B124" s="70"/>
      <c r="C124" s="70"/>
      <c r="D124" s="70"/>
      <c r="E124" s="70"/>
      <c r="F124" s="70"/>
      <c r="G124" s="70"/>
      <c r="H124" s="70"/>
      <c r="I124" s="131"/>
      <c r="J124" s="131"/>
      <c r="K124" s="131"/>
      <c r="L124" s="131"/>
      <c r="M124" s="131"/>
      <c r="N124" s="131"/>
      <c r="P124" s="90"/>
      <c r="Q124" s="70"/>
      <c r="R124" s="70"/>
    </row>
    <row r="125" spans="1:18">
      <c r="A125" s="5"/>
      <c r="B125" s="70"/>
      <c r="C125" s="70"/>
      <c r="D125" s="70"/>
      <c r="E125" s="70"/>
      <c r="F125" s="70"/>
      <c r="G125" s="70"/>
      <c r="H125" s="70"/>
      <c r="I125" s="131"/>
      <c r="J125" s="131"/>
      <c r="K125" s="131"/>
      <c r="L125" s="131"/>
      <c r="M125" s="131"/>
      <c r="N125" s="131"/>
      <c r="P125" s="90"/>
      <c r="Q125" s="70"/>
      <c r="R125" s="70"/>
    </row>
    <row r="126" spans="1:18">
      <c r="A126" s="5"/>
      <c r="B126" s="70"/>
      <c r="C126" s="70"/>
      <c r="D126" s="70"/>
      <c r="E126" s="70"/>
      <c r="F126" s="70"/>
      <c r="G126" s="70"/>
      <c r="H126" s="70"/>
      <c r="I126" s="131"/>
      <c r="J126" s="131"/>
      <c r="K126" s="131"/>
      <c r="L126" s="131"/>
      <c r="M126" s="131"/>
      <c r="N126" s="131"/>
      <c r="P126" s="90"/>
      <c r="Q126" s="70"/>
      <c r="R126" s="70"/>
    </row>
    <row r="127" spans="1:18">
      <c r="A127" s="5"/>
      <c r="B127" s="70"/>
      <c r="C127" s="70"/>
      <c r="D127" s="70"/>
      <c r="E127" s="70"/>
      <c r="F127" s="70"/>
      <c r="G127" s="70"/>
      <c r="H127" s="70"/>
      <c r="I127" s="131"/>
      <c r="J127" s="131"/>
      <c r="K127" s="131"/>
      <c r="L127" s="131"/>
      <c r="M127" s="131"/>
      <c r="N127" s="131"/>
      <c r="P127" s="90"/>
      <c r="Q127" s="70"/>
      <c r="R127" s="70"/>
    </row>
    <row r="128" spans="1:18">
      <c r="A128" s="5"/>
      <c r="B128" s="70"/>
      <c r="C128" s="70"/>
      <c r="D128" s="70"/>
      <c r="E128" s="70"/>
      <c r="F128" s="70"/>
      <c r="G128" s="70"/>
      <c r="H128" s="70"/>
      <c r="I128" s="131"/>
      <c r="J128" s="131"/>
      <c r="K128" s="131"/>
      <c r="L128" s="131"/>
      <c r="M128" s="131"/>
      <c r="N128" s="131"/>
      <c r="P128" s="90"/>
      <c r="Q128" s="70"/>
      <c r="R128" s="70"/>
    </row>
    <row r="129" spans="1:18">
      <c r="A129" s="5"/>
      <c r="B129" s="70"/>
      <c r="C129" s="70"/>
      <c r="D129" s="70"/>
      <c r="E129" s="70"/>
      <c r="F129" s="70"/>
      <c r="G129" s="70"/>
      <c r="H129" s="70"/>
      <c r="I129" s="131"/>
      <c r="J129" s="131"/>
      <c r="K129" s="131"/>
      <c r="L129" s="131"/>
      <c r="M129" s="131"/>
      <c r="N129" s="131"/>
      <c r="P129" s="90"/>
      <c r="Q129" s="70"/>
      <c r="R129" s="70"/>
    </row>
    <row r="130" spans="1:18">
      <c r="A130" s="5"/>
      <c r="B130" s="70"/>
      <c r="C130" s="70"/>
      <c r="D130" s="70"/>
      <c r="E130" s="70"/>
      <c r="F130" s="70"/>
      <c r="G130" s="70"/>
      <c r="H130" s="70"/>
      <c r="I130" s="131"/>
      <c r="J130" s="131"/>
      <c r="K130" s="131"/>
      <c r="L130" s="131"/>
      <c r="M130" s="131"/>
      <c r="N130" s="131"/>
      <c r="P130" s="90"/>
      <c r="Q130" s="70"/>
      <c r="R130" s="70"/>
    </row>
    <row r="131" spans="1:18">
      <c r="A131" s="5"/>
      <c r="B131" s="70"/>
      <c r="C131" s="70"/>
      <c r="D131" s="70"/>
      <c r="E131" s="70"/>
      <c r="F131" s="70"/>
      <c r="G131" s="70"/>
      <c r="H131" s="70"/>
      <c r="I131" s="131"/>
      <c r="J131" s="131"/>
      <c r="K131" s="131"/>
      <c r="L131" s="131"/>
      <c r="M131" s="131"/>
      <c r="N131" s="131"/>
      <c r="P131" s="90"/>
      <c r="Q131" s="70"/>
      <c r="R131" s="70"/>
    </row>
    <row r="132" spans="1:18">
      <c r="A132" s="5"/>
      <c r="B132" s="70"/>
      <c r="C132" s="70"/>
      <c r="D132" s="70"/>
      <c r="E132" s="70"/>
      <c r="F132" s="70"/>
      <c r="G132" s="70"/>
      <c r="H132" s="70"/>
      <c r="I132" s="131"/>
      <c r="J132" s="131"/>
      <c r="K132" s="131"/>
      <c r="L132" s="131"/>
      <c r="M132" s="131"/>
      <c r="N132" s="131"/>
      <c r="P132" s="90"/>
      <c r="Q132" s="70"/>
      <c r="R132" s="70"/>
    </row>
    <row r="133" spans="1:18">
      <c r="A133" s="5"/>
      <c r="B133" s="70"/>
      <c r="C133" s="70"/>
      <c r="D133" s="70"/>
      <c r="E133" s="70"/>
      <c r="F133" s="70"/>
      <c r="G133" s="70"/>
      <c r="H133" s="70"/>
      <c r="I133" s="131"/>
      <c r="J133" s="131"/>
      <c r="K133" s="131"/>
      <c r="L133" s="131"/>
      <c r="M133" s="131"/>
      <c r="N133" s="131"/>
      <c r="P133" s="90"/>
      <c r="Q133" s="70"/>
      <c r="R133" s="70"/>
    </row>
    <row r="134" spans="1:18">
      <c r="A134" s="5"/>
      <c r="B134" s="70"/>
      <c r="C134" s="70"/>
      <c r="D134" s="70"/>
      <c r="E134" s="70"/>
      <c r="F134" s="70"/>
      <c r="G134" s="70"/>
      <c r="H134" s="70"/>
      <c r="I134" s="131"/>
      <c r="J134" s="131"/>
      <c r="K134" s="131"/>
      <c r="L134" s="131"/>
      <c r="M134" s="131"/>
      <c r="N134" s="131"/>
      <c r="P134" s="90"/>
      <c r="Q134" s="70"/>
      <c r="R134" s="70"/>
    </row>
    <row r="135" spans="1:18">
      <c r="A135" s="5"/>
      <c r="B135" s="70"/>
      <c r="C135" s="70"/>
      <c r="D135" s="70"/>
      <c r="E135" s="70"/>
      <c r="F135" s="70"/>
      <c r="G135" s="70"/>
      <c r="H135" s="70"/>
      <c r="I135" s="131"/>
      <c r="J135" s="131"/>
      <c r="K135" s="131"/>
      <c r="L135" s="131"/>
      <c r="M135" s="131"/>
      <c r="N135" s="131"/>
      <c r="P135" s="90"/>
      <c r="Q135" s="70"/>
      <c r="R135" s="70"/>
    </row>
    <row r="136" spans="1:18">
      <c r="A136" s="5"/>
      <c r="B136" s="70"/>
      <c r="C136" s="70"/>
      <c r="D136" s="70"/>
      <c r="E136" s="70"/>
      <c r="F136" s="70"/>
      <c r="G136" s="70"/>
      <c r="H136" s="70"/>
      <c r="I136" s="131"/>
      <c r="J136" s="131"/>
      <c r="K136" s="131"/>
      <c r="L136" s="131"/>
      <c r="M136" s="131"/>
      <c r="N136" s="131"/>
      <c r="P136" s="90"/>
      <c r="Q136" s="70"/>
      <c r="R136" s="70"/>
    </row>
    <row r="137" spans="1:18">
      <c r="A137" s="5"/>
      <c r="B137" s="70"/>
      <c r="C137" s="70"/>
      <c r="D137" s="70"/>
      <c r="E137" s="70"/>
      <c r="F137" s="70"/>
      <c r="G137" s="70"/>
      <c r="H137" s="70"/>
      <c r="I137" s="131"/>
      <c r="J137" s="131"/>
      <c r="K137" s="131"/>
      <c r="L137" s="131"/>
      <c r="M137" s="131"/>
      <c r="N137" s="131"/>
      <c r="P137" s="90"/>
      <c r="Q137" s="70"/>
      <c r="R137" s="70"/>
    </row>
    <row r="138" spans="1:18">
      <c r="A138" s="5"/>
      <c r="B138" s="70"/>
      <c r="C138" s="70"/>
      <c r="D138" s="70"/>
      <c r="E138" s="70"/>
      <c r="F138" s="70"/>
      <c r="G138" s="70"/>
      <c r="H138" s="70"/>
      <c r="I138" s="131"/>
      <c r="J138" s="131"/>
      <c r="K138" s="131"/>
      <c r="L138" s="131"/>
      <c r="M138" s="131"/>
      <c r="N138" s="131"/>
      <c r="P138" s="90"/>
      <c r="Q138" s="70"/>
      <c r="R138" s="70"/>
    </row>
    <row r="139" spans="1:18">
      <c r="A139" s="5"/>
      <c r="B139" s="70"/>
      <c r="C139" s="70"/>
      <c r="D139" s="70"/>
      <c r="E139" s="70"/>
      <c r="F139" s="70"/>
      <c r="G139" s="70"/>
      <c r="H139" s="70"/>
      <c r="I139" s="131"/>
      <c r="J139" s="131"/>
      <c r="K139" s="131"/>
      <c r="L139" s="131"/>
      <c r="M139" s="131"/>
      <c r="N139" s="131"/>
      <c r="P139" s="90"/>
      <c r="Q139" s="70"/>
      <c r="R139" s="70"/>
    </row>
    <row r="140" spans="1:18">
      <c r="A140" s="5"/>
      <c r="B140" s="70"/>
      <c r="C140" s="70"/>
      <c r="D140" s="70"/>
      <c r="E140" s="70"/>
      <c r="F140" s="70"/>
      <c r="G140" s="70"/>
      <c r="H140" s="70"/>
      <c r="I140" s="131"/>
      <c r="J140" s="131"/>
      <c r="K140" s="131"/>
      <c r="L140" s="131"/>
      <c r="M140" s="131"/>
      <c r="N140" s="131"/>
      <c r="P140" s="90"/>
      <c r="Q140" s="70"/>
      <c r="R140" s="70"/>
    </row>
    <row r="141" spans="1:18">
      <c r="A141" s="5"/>
      <c r="B141" s="70"/>
      <c r="C141" s="70"/>
      <c r="D141" s="70"/>
      <c r="E141" s="70"/>
      <c r="F141" s="70"/>
      <c r="G141" s="70"/>
      <c r="H141" s="70"/>
      <c r="I141" s="131"/>
      <c r="J141" s="131"/>
      <c r="K141" s="131"/>
      <c r="L141" s="131"/>
      <c r="M141" s="131"/>
      <c r="N141" s="131"/>
      <c r="P141" s="90"/>
      <c r="Q141" s="70"/>
      <c r="R141" s="70"/>
    </row>
    <row r="142" spans="1:18">
      <c r="A142" s="5"/>
      <c r="B142" s="70"/>
      <c r="C142" s="70"/>
      <c r="D142" s="70"/>
      <c r="E142" s="70"/>
      <c r="F142" s="70"/>
      <c r="G142" s="70"/>
      <c r="H142" s="70"/>
      <c r="I142" s="131"/>
      <c r="J142" s="131"/>
      <c r="K142" s="131"/>
      <c r="L142" s="131"/>
      <c r="M142" s="131"/>
      <c r="N142" s="131"/>
      <c r="P142" s="90"/>
      <c r="Q142" s="70"/>
      <c r="R142" s="70"/>
    </row>
    <row r="143" spans="1:18">
      <c r="A143" s="5"/>
      <c r="B143" s="70"/>
      <c r="C143" s="70"/>
      <c r="D143" s="70"/>
      <c r="E143" s="70"/>
      <c r="F143" s="70"/>
      <c r="G143" s="70"/>
      <c r="H143" s="70"/>
      <c r="I143" s="131"/>
      <c r="J143" s="131"/>
      <c r="K143" s="131"/>
      <c r="L143" s="131"/>
      <c r="M143" s="131"/>
      <c r="N143" s="131"/>
      <c r="P143" s="90"/>
      <c r="Q143" s="70"/>
      <c r="R143" s="70"/>
    </row>
    <row r="144" spans="1:18">
      <c r="A144" s="5"/>
      <c r="B144" s="70"/>
      <c r="C144" s="70"/>
      <c r="D144" s="70"/>
      <c r="E144" s="70"/>
      <c r="F144" s="70"/>
      <c r="G144" s="70"/>
      <c r="H144" s="70"/>
      <c r="I144" s="131"/>
      <c r="J144" s="131"/>
      <c r="K144" s="131"/>
      <c r="L144" s="131"/>
      <c r="M144" s="131"/>
      <c r="N144" s="131"/>
      <c r="P144" s="90"/>
      <c r="Q144" s="70"/>
      <c r="R144" s="70"/>
    </row>
    <row r="145" spans="1:18">
      <c r="A145" s="5"/>
      <c r="B145" s="70"/>
      <c r="C145" s="70"/>
      <c r="D145" s="70"/>
      <c r="E145" s="70"/>
      <c r="F145" s="70"/>
      <c r="G145" s="70"/>
      <c r="H145" s="70"/>
      <c r="I145" s="131"/>
      <c r="J145" s="131"/>
      <c r="K145" s="131"/>
      <c r="L145" s="131"/>
      <c r="M145" s="131"/>
      <c r="N145" s="131"/>
      <c r="P145" s="90"/>
      <c r="Q145" s="70"/>
      <c r="R145" s="70"/>
    </row>
    <row r="146" spans="1:18">
      <c r="A146" s="5"/>
      <c r="B146" s="70"/>
      <c r="C146" s="70"/>
      <c r="D146" s="70"/>
      <c r="E146" s="70"/>
      <c r="F146" s="70"/>
      <c r="G146" s="70"/>
      <c r="H146" s="70"/>
      <c r="I146" s="131"/>
      <c r="J146" s="131"/>
      <c r="K146" s="131"/>
      <c r="L146" s="131"/>
      <c r="M146" s="131"/>
      <c r="N146" s="131"/>
      <c r="P146" s="90"/>
      <c r="Q146" s="70"/>
      <c r="R146" s="70"/>
    </row>
    <row r="147" spans="1:18">
      <c r="A147" s="5"/>
      <c r="B147" s="70"/>
      <c r="C147" s="70"/>
      <c r="D147" s="70"/>
      <c r="E147" s="70"/>
      <c r="F147" s="70"/>
      <c r="G147" s="70"/>
      <c r="H147" s="70"/>
      <c r="I147" s="131"/>
      <c r="J147" s="131"/>
      <c r="K147" s="131"/>
      <c r="L147" s="131"/>
      <c r="M147" s="131"/>
      <c r="N147" s="131"/>
      <c r="P147" s="90"/>
      <c r="Q147" s="70"/>
      <c r="R147" s="70"/>
    </row>
    <row r="148" spans="1:18">
      <c r="A148" s="5"/>
      <c r="B148" s="70"/>
      <c r="C148" s="70"/>
      <c r="D148" s="70"/>
      <c r="E148" s="70"/>
      <c r="F148" s="70"/>
      <c r="G148" s="70"/>
      <c r="H148" s="70"/>
      <c r="I148" s="131"/>
      <c r="J148" s="131"/>
      <c r="K148" s="131"/>
      <c r="L148" s="131"/>
      <c r="M148" s="131"/>
      <c r="N148" s="131"/>
      <c r="P148" s="90"/>
      <c r="Q148" s="70"/>
      <c r="R148" s="70"/>
    </row>
    <row r="149" spans="1:18">
      <c r="A149" s="5"/>
      <c r="B149" s="70"/>
      <c r="C149" s="70"/>
      <c r="D149" s="70"/>
      <c r="E149" s="70"/>
      <c r="F149" s="70"/>
      <c r="G149" s="70"/>
      <c r="H149" s="70"/>
      <c r="I149" s="131"/>
      <c r="J149" s="131"/>
      <c r="K149" s="131"/>
      <c r="L149" s="131"/>
      <c r="M149" s="131"/>
      <c r="N149" s="131"/>
      <c r="P149" s="90"/>
      <c r="Q149" s="70"/>
      <c r="R149" s="70"/>
    </row>
    <row r="150" spans="1:18">
      <c r="A150" s="5"/>
      <c r="B150" s="70"/>
      <c r="C150" s="70"/>
      <c r="D150" s="70"/>
      <c r="E150" s="70"/>
      <c r="F150" s="70"/>
      <c r="G150" s="70"/>
      <c r="H150" s="70"/>
      <c r="I150" s="131"/>
      <c r="J150" s="131"/>
      <c r="K150" s="131"/>
      <c r="L150" s="131"/>
      <c r="M150" s="131"/>
      <c r="N150" s="131"/>
      <c r="P150" s="90"/>
      <c r="Q150" s="70"/>
      <c r="R150" s="70"/>
    </row>
    <row r="151" spans="1:18">
      <c r="A151" s="5"/>
      <c r="B151" s="70"/>
      <c r="C151" s="70"/>
      <c r="D151" s="70"/>
      <c r="E151" s="70"/>
      <c r="F151" s="70"/>
      <c r="G151" s="70"/>
      <c r="H151" s="70"/>
      <c r="I151" s="131"/>
      <c r="J151" s="131"/>
      <c r="K151" s="131"/>
      <c r="L151" s="131"/>
      <c r="M151" s="131"/>
      <c r="N151" s="131"/>
      <c r="P151" s="90"/>
      <c r="Q151" s="70"/>
      <c r="R151" s="70"/>
    </row>
    <row r="152" spans="1:18">
      <c r="A152" s="5"/>
      <c r="B152" s="70"/>
      <c r="C152" s="70"/>
      <c r="D152" s="70"/>
      <c r="E152" s="70"/>
      <c r="F152" s="70"/>
      <c r="G152" s="70"/>
      <c r="H152" s="70"/>
      <c r="I152" s="131"/>
      <c r="J152" s="131"/>
      <c r="K152" s="131"/>
      <c r="L152" s="131"/>
      <c r="M152" s="131"/>
      <c r="N152" s="131"/>
      <c r="P152" s="90"/>
      <c r="Q152" s="70"/>
      <c r="R152" s="70"/>
    </row>
    <row r="153" spans="1:18">
      <c r="A153" s="5"/>
      <c r="B153" s="70"/>
      <c r="C153" s="70"/>
      <c r="D153" s="70"/>
      <c r="E153" s="70"/>
      <c r="F153" s="70"/>
      <c r="G153" s="70"/>
      <c r="H153" s="70"/>
      <c r="I153" s="131"/>
      <c r="J153" s="131"/>
      <c r="K153" s="131"/>
      <c r="L153" s="131"/>
      <c r="M153" s="131"/>
      <c r="N153" s="131"/>
      <c r="P153" s="90"/>
      <c r="Q153" s="70"/>
      <c r="R153" s="70"/>
    </row>
  </sheetData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成本模型（模拟数据）"/>
  <dimension ref="A1:AI84"/>
  <sheetViews>
    <sheetView workbookViewId="0">
      <pane ySplit="2" topLeftCell="A3" activePane="bottomLeft" state="frozen"/>
      <selection pane="bottomLeft"/>
    </sheetView>
  </sheetViews>
  <sheetFormatPr defaultColWidth="13.7109375" defaultRowHeight="18" customHeight="1"/>
  <cols>
    <col min="1" max="1" width="24.7109375" customWidth="1"/>
    <col min="2" max="2" width="40.42578125" customWidth="1"/>
    <col min="3" max="3" width="38.28515625" customWidth="1"/>
    <col min="4" max="4" width="42.28515625" customWidth="1"/>
    <col min="5" max="5" width="21.28515625" customWidth="1"/>
    <col min="6" max="6" width="23" customWidth="1"/>
    <col min="7" max="7" width="22.28515625" customWidth="1"/>
    <col min="8" max="8" width="42.28515625" customWidth="1"/>
    <col min="9" max="9" width="27" style="73" customWidth="1"/>
    <col min="10" max="10" width="22.28515625" customWidth="1"/>
    <col min="11" max="11" width="20.140625" customWidth="1"/>
    <col min="12" max="12" width="18.5703125" customWidth="1"/>
    <col min="13" max="13" width="15.85546875" customWidth="1"/>
    <col min="14" max="14" width="25.140625" customWidth="1"/>
    <col min="15" max="15" width="21.140625" style="135" customWidth="1"/>
    <col min="16" max="16" width="26.140625" customWidth="1"/>
    <col min="17" max="17" width="21.28515625" customWidth="1"/>
    <col min="18" max="18" width="22.42578125" customWidth="1"/>
    <col min="19" max="19" width="18.42578125" customWidth="1"/>
  </cols>
  <sheetData>
    <row r="1" spans="1:35" s="134" customFormat="1" ht="108.75" customHeight="1">
      <c r="A1" s="7" t="s">
        <v>20</v>
      </c>
      <c r="B1" s="8" t="s">
        <v>21</v>
      </c>
      <c r="C1" s="8" t="s">
        <v>21</v>
      </c>
      <c r="D1" s="9"/>
      <c r="E1" s="10" t="s">
        <v>280</v>
      </c>
      <c r="F1" s="7" t="s">
        <v>22</v>
      </c>
      <c r="G1" s="7" t="s">
        <v>23</v>
      </c>
      <c r="H1" s="11" t="s">
        <v>24</v>
      </c>
      <c r="I1" s="12" t="s">
        <v>25</v>
      </c>
      <c r="J1" s="7" t="s">
        <v>26</v>
      </c>
      <c r="K1" s="8" t="s">
        <v>27</v>
      </c>
      <c r="L1" s="7" t="s">
        <v>28</v>
      </c>
      <c r="M1" s="8"/>
      <c r="N1" s="12" t="s">
        <v>29</v>
      </c>
      <c r="O1" s="13" t="s">
        <v>30</v>
      </c>
      <c r="P1" s="7" t="s">
        <v>31</v>
      </c>
      <c r="Q1" s="8" t="s">
        <v>32</v>
      </c>
      <c r="R1" s="14" t="s">
        <v>32</v>
      </c>
      <c r="S1" s="14" t="s">
        <v>32</v>
      </c>
      <c r="T1" s="15"/>
      <c r="U1" s="15"/>
      <c r="V1" s="16"/>
      <c r="W1" s="17"/>
      <c r="X1" s="17"/>
      <c r="Y1" s="17"/>
      <c r="Z1" s="17"/>
      <c r="AA1" s="17"/>
      <c r="AB1" s="17"/>
      <c r="AC1" s="15"/>
      <c r="AD1" s="15"/>
      <c r="AE1" s="15"/>
      <c r="AF1" s="15"/>
      <c r="AG1" s="15"/>
      <c r="AH1" s="15"/>
      <c r="AI1" s="15"/>
    </row>
    <row r="2" spans="1:35" ht="14.25">
      <c r="A2" s="18" t="s">
        <v>33</v>
      </c>
      <c r="B2" s="18" t="s">
        <v>34</v>
      </c>
      <c r="C2" s="18" t="s">
        <v>35</v>
      </c>
      <c r="D2" s="18" t="s">
        <v>36</v>
      </c>
      <c r="E2" s="18" t="s">
        <v>37</v>
      </c>
      <c r="F2" s="19" t="s">
        <v>38</v>
      </c>
      <c r="G2" s="18" t="s">
        <v>39</v>
      </c>
      <c r="H2" s="18" t="s">
        <v>40</v>
      </c>
      <c r="I2" s="20" t="s">
        <v>41</v>
      </c>
      <c r="J2" s="18" t="s">
        <v>42</v>
      </c>
      <c r="K2" s="18" t="s">
        <v>43</v>
      </c>
      <c r="L2" s="21" t="s">
        <v>44</v>
      </c>
      <c r="M2" s="18" t="s">
        <v>13</v>
      </c>
      <c r="N2" s="18" t="s">
        <v>45</v>
      </c>
      <c r="O2" s="22" t="s">
        <v>46</v>
      </c>
      <c r="P2" s="18" t="s">
        <v>47</v>
      </c>
      <c r="Q2" s="18" t="s">
        <v>48</v>
      </c>
      <c r="R2" s="23" t="s">
        <v>49</v>
      </c>
      <c r="S2" s="23" t="s">
        <v>50</v>
      </c>
    </row>
    <row r="3" spans="1:35" ht="14.25">
      <c r="A3" s="2" t="s">
        <v>51</v>
      </c>
      <c r="B3" s="24" t="s">
        <v>52</v>
      </c>
      <c r="C3" s="2" t="s">
        <v>53</v>
      </c>
      <c r="D3" s="25" t="s">
        <v>54</v>
      </c>
      <c r="E3" s="2"/>
      <c r="F3" s="1" t="s">
        <v>55</v>
      </c>
      <c r="G3" s="26" t="s">
        <v>56</v>
      </c>
      <c r="H3" s="5"/>
      <c r="I3" s="27">
        <v>49000</v>
      </c>
      <c r="J3" s="2">
        <v>60</v>
      </c>
      <c r="K3" s="2">
        <f t="shared" ref="K3:K24" si="0">I3/J3</f>
        <v>816.66666666666663</v>
      </c>
      <c r="L3" s="2">
        <v>1510</v>
      </c>
      <c r="M3" s="2" t="s">
        <v>57</v>
      </c>
      <c r="N3" s="2">
        <f t="shared" ref="N3:N24" si="1">K3*L3</f>
        <v>1233166.6666666665</v>
      </c>
      <c r="O3" s="28">
        <f>N3/SUM(N3:N20)</f>
        <v>0.28761338935527897</v>
      </c>
      <c r="P3" s="29">
        <f>N3+SUM(N31:N54)*O3</f>
        <v>1709350.2342319111</v>
      </c>
      <c r="Q3" s="26">
        <v>48320</v>
      </c>
      <c r="R3" s="5">
        <v>519840</v>
      </c>
      <c r="S3" s="5">
        <v>16610</v>
      </c>
    </row>
    <row r="4" spans="1:35" ht="14.25">
      <c r="A4" s="2" t="s">
        <v>51</v>
      </c>
      <c r="B4" s="30" t="s">
        <v>58</v>
      </c>
      <c r="C4" s="2" t="s">
        <v>53</v>
      </c>
      <c r="D4" s="25" t="s">
        <v>59</v>
      </c>
      <c r="E4" s="2"/>
      <c r="F4" s="1" t="s">
        <v>55</v>
      </c>
      <c r="G4" s="26" t="s">
        <v>56</v>
      </c>
      <c r="H4" s="5"/>
      <c r="I4" s="27">
        <v>48000</v>
      </c>
      <c r="J4" s="2">
        <v>60</v>
      </c>
      <c r="K4" s="27">
        <f t="shared" si="0"/>
        <v>800</v>
      </c>
      <c r="L4" s="2">
        <v>40</v>
      </c>
      <c r="M4" s="2" t="s">
        <v>57</v>
      </c>
      <c r="N4" s="27">
        <f t="shared" si="1"/>
        <v>32000</v>
      </c>
      <c r="O4" s="28">
        <f>N4/SUM(N3:N20)</f>
        <v>7.4634100224643283E-3</v>
      </c>
      <c r="P4" s="29">
        <f>N4+SUM(N31:N54)*O4</f>
        <v>44356.702929115687</v>
      </c>
      <c r="Q4" s="26">
        <v>1280</v>
      </c>
      <c r="R4" s="5">
        <v>20480</v>
      </c>
      <c r="S4" s="5">
        <v>960</v>
      </c>
    </row>
    <row r="5" spans="1:35" ht="14.25">
      <c r="A5" s="2" t="s">
        <v>51</v>
      </c>
      <c r="B5" s="30" t="s">
        <v>60</v>
      </c>
      <c r="C5" s="2" t="s">
        <v>53</v>
      </c>
      <c r="D5" s="31" t="s">
        <v>61</v>
      </c>
      <c r="E5" s="2"/>
      <c r="F5" s="1" t="s">
        <v>55</v>
      </c>
      <c r="G5" s="26" t="s">
        <v>56</v>
      </c>
      <c r="H5" s="5"/>
      <c r="I5" s="27">
        <v>105000</v>
      </c>
      <c r="J5" s="2">
        <v>60</v>
      </c>
      <c r="K5" s="27">
        <f t="shared" si="0"/>
        <v>1750</v>
      </c>
      <c r="L5" s="2">
        <v>40</v>
      </c>
      <c r="M5" s="2" t="s">
        <v>57</v>
      </c>
      <c r="N5" s="27">
        <f t="shared" si="1"/>
        <v>70000</v>
      </c>
      <c r="O5" s="28">
        <f>N5/SUM(N3:N20)</f>
        <v>1.632620942414072E-2</v>
      </c>
      <c r="P5" s="29">
        <f>N5+SUM(N31:N54)*O5</f>
        <v>97030.287657440567</v>
      </c>
      <c r="Q5" s="26">
        <v>1280</v>
      </c>
      <c r="R5" s="5">
        <v>20480</v>
      </c>
      <c r="S5" s="5">
        <v>440</v>
      </c>
    </row>
    <row r="6" spans="1:35" ht="14.25">
      <c r="A6" s="2" t="s">
        <v>51</v>
      </c>
      <c r="B6" s="30" t="s">
        <v>62</v>
      </c>
      <c r="C6" s="2" t="s">
        <v>53</v>
      </c>
      <c r="D6" s="32" t="s">
        <v>63</v>
      </c>
      <c r="E6" s="2"/>
      <c r="F6" s="1" t="s">
        <v>55</v>
      </c>
      <c r="G6" s="26" t="s">
        <v>56</v>
      </c>
      <c r="H6" s="5"/>
      <c r="I6" s="27">
        <v>265600</v>
      </c>
      <c r="J6" s="2">
        <v>60</v>
      </c>
      <c r="K6" s="27">
        <f t="shared" si="0"/>
        <v>4426.666666666667</v>
      </c>
      <c r="L6" s="2">
        <v>200</v>
      </c>
      <c r="M6" s="2" t="s">
        <v>57</v>
      </c>
      <c r="N6" s="27">
        <f t="shared" si="1"/>
        <v>885333.33333333337</v>
      </c>
      <c r="O6" s="28">
        <f>N6/SUM(N3:N20)</f>
        <v>0.20648767728817977</v>
      </c>
      <c r="P6" s="29">
        <f>N6+SUM(N31:N54)*O6</f>
        <v>1227202.1143722008</v>
      </c>
      <c r="Q6" s="26">
        <v>6400</v>
      </c>
      <c r="R6" s="5">
        <v>51200</v>
      </c>
      <c r="S6" s="5">
        <v>760</v>
      </c>
    </row>
    <row r="7" spans="1:35" ht="14.25">
      <c r="A7" s="2" t="s">
        <v>51</v>
      </c>
      <c r="B7" s="30" t="s">
        <v>64</v>
      </c>
      <c r="C7" s="2" t="s">
        <v>53</v>
      </c>
      <c r="D7" s="25" t="s">
        <v>65</v>
      </c>
      <c r="E7" s="2"/>
      <c r="F7" s="1" t="s">
        <v>55</v>
      </c>
      <c r="G7" s="26" t="s">
        <v>56</v>
      </c>
      <c r="H7" s="5"/>
      <c r="I7" s="27">
        <v>128281</v>
      </c>
      <c r="J7" s="2">
        <v>60</v>
      </c>
      <c r="K7" s="27">
        <f t="shared" si="0"/>
        <v>2138.0166666666669</v>
      </c>
      <c r="L7" s="2">
        <v>100</v>
      </c>
      <c r="M7" s="2" t="s">
        <v>57</v>
      </c>
      <c r="N7" s="27">
        <f t="shared" si="1"/>
        <v>213801.66666666669</v>
      </c>
      <c r="O7" s="28">
        <f>N7/SUM(N3:N20)</f>
        <v>4.9865296931861806E-2</v>
      </c>
      <c r="P7" s="29">
        <f>N7+SUM(N31:N54)*O7</f>
        <v>296360.53169009846</v>
      </c>
      <c r="Q7" s="26">
        <v>4800</v>
      </c>
      <c r="R7" s="5">
        <v>25600</v>
      </c>
      <c r="S7" s="5">
        <v>1500</v>
      </c>
    </row>
    <row r="8" spans="1:35" ht="14.25">
      <c r="A8" s="2" t="s">
        <v>51</v>
      </c>
      <c r="B8" s="30" t="s">
        <v>66</v>
      </c>
      <c r="C8" s="2" t="s">
        <v>53</v>
      </c>
      <c r="D8" s="25" t="s">
        <v>67</v>
      </c>
      <c r="E8" s="2"/>
      <c r="F8" s="1" t="s">
        <v>55</v>
      </c>
      <c r="G8" s="26" t="s">
        <v>56</v>
      </c>
      <c r="H8" s="5"/>
      <c r="I8" s="27">
        <v>143430</v>
      </c>
      <c r="J8" s="2">
        <v>60</v>
      </c>
      <c r="K8" s="27">
        <f t="shared" si="0"/>
        <v>2390.5</v>
      </c>
      <c r="L8" s="2">
        <v>30</v>
      </c>
      <c r="M8" s="2" t="s">
        <v>57</v>
      </c>
      <c r="N8" s="27">
        <f t="shared" si="1"/>
        <v>71715</v>
      </c>
      <c r="O8" s="28">
        <f>N8/SUM(N3:N20)</f>
        <v>1.6726201555032166E-2</v>
      </c>
      <c r="P8" s="29">
        <f>N8+SUM(N31:N54)*O8</f>
        <v>99407.529705047855</v>
      </c>
      <c r="Q8" s="26">
        <v>90</v>
      </c>
      <c r="R8" s="5">
        <v>11520</v>
      </c>
      <c r="S8" s="5">
        <v>240</v>
      </c>
    </row>
    <row r="9" spans="1:35" ht="14.25">
      <c r="A9" s="2" t="s">
        <v>51</v>
      </c>
      <c r="B9" s="30" t="s">
        <v>68</v>
      </c>
      <c r="C9" s="2" t="s">
        <v>53</v>
      </c>
      <c r="D9" s="25" t="s">
        <v>69</v>
      </c>
      <c r="E9" s="2"/>
      <c r="F9" s="1" t="s">
        <v>55</v>
      </c>
      <c r="G9" s="26" t="s">
        <v>56</v>
      </c>
      <c r="H9" s="5"/>
      <c r="I9" s="27">
        <v>104400</v>
      </c>
      <c r="J9" s="2">
        <v>60</v>
      </c>
      <c r="K9" s="27">
        <f t="shared" si="0"/>
        <v>1740</v>
      </c>
      <c r="L9" s="2">
        <v>50</v>
      </c>
      <c r="M9" s="2" t="s">
        <v>57</v>
      </c>
      <c r="N9" s="27">
        <f t="shared" si="1"/>
        <v>87000</v>
      </c>
      <c r="O9" s="28">
        <f>N9/SUM(N3:N20)</f>
        <v>2.0291145998574893E-2</v>
      </c>
      <c r="P9" s="29">
        <f>N9+SUM(N31:N54)*O9</f>
        <v>120594.78608853326</v>
      </c>
      <c r="Q9" s="26">
        <v>1600</v>
      </c>
      <c r="R9" s="5">
        <v>12800</v>
      </c>
      <c r="S9" s="5">
        <v>2400</v>
      </c>
    </row>
    <row r="10" spans="1:35" ht="14.25">
      <c r="A10" s="2" t="s">
        <v>51</v>
      </c>
      <c r="B10" s="30" t="s">
        <v>70</v>
      </c>
      <c r="C10" s="2" t="s">
        <v>53</v>
      </c>
      <c r="D10" s="25" t="s">
        <v>71</v>
      </c>
      <c r="E10" s="2"/>
      <c r="F10" s="1" t="s">
        <v>55</v>
      </c>
      <c r="G10" s="26" t="s">
        <v>56</v>
      </c>
      <c r="H10" s="5"/>
      <c r="I10" s="27">
        <v>40000</v>
      </c>
      <c r="J10" s="2">
        <v>60</v>
      </c>
      <c r="K10" s="27">
        <f t="shared" si="0"/>
        <v>666.66666666666663</v>
      </c>
      <c r="L10" s="2">
        <v>26</v>
      </c>
      <c r="M10" s="2" t="s">
        <v>57</v>
      </c>
      <c r="N10" s="27">
        <f t="shared" si="1"/>
        <v>17333.333333333332</v>
      </c>
      <c r="O10" s="28">
        <f>N10/SUM(N3:N20)</f>
        <v>4.0426804288348443E-3</v>
      </c>
      <c r="P10" s="29">
        <f>N10+SUM(N31:N54)*O10</f>
        <v>24026.547419937662</v>
      </c>
      <c r="Q10" s="26">
        <v>832</v>
      </c>
      <c r="R10" s="5">
        <v>6656</v>
      </c>
      <c r="S10" s="5">
        <v>1872</v>
      </c>
    </row>
    <row r="11" spans="1:35" ht="14.25">
      <c r="A11" s="2" t="s">
        <v>51</v>
      </c>
      <c r="B11" s="30" t="s">
        <v>72</v>
      </c>
      <c r="C11" s="2" t="s">
        <v>53</v>
      </c>
      <c r="D11" s="25" t="s">
        <v>73</v>
      </c>
      <c r="E11" s="2"/>
      <c r="F11" s="1" t="s">
        <v>55</v>
      </c>
      <c r="G11" s="26" t="s">
        <v>56</v>
      </c>
      <c r="H11" s="5"/>
      <c r="I11" s="27">
        <v>61949</v>
      </c>
      <c r="J11" s="2">
        <v>60</v>
      </c>
      <c r="K11" s="27">
        <f t="shared" si="0"/>
        <v>1032.4833333333333</v>
      </c>
      <c r="L11" s="2">
        <v>33</v>
      </c>
      <c r="M11" s="2" t="s">
        <v>57</v>
      </c>
      <c r="N11" s="27">
        <f t="shared" si="1"/>
        <v>34071.949999999997</v>
      </c>
      <c r="O11" s="28">
        <f>N11/SUM(N3:N20)</f>
        <v>7.9466541598407336E-3</v>
      </c>
      <c r="P11" s="29">
        <f>N11+SUM(N31:N54)*O11</f>
        <v>47228.730136427599</v>
      </c>
      <c r="Q11" s="26">
        <v>1056</v>
      </c>
      <c r="R11" s="5">
        <v>8448</v>
      </c>
      <c r="S11" s="5">
        <v>1122</v>
      </c>
    </row>
    <row r="12" spans="1:35" ht="14.25">
      <c r="A12" s="2" t="s">
        <v>51</v>
      </c>
      <c r="B12" s="30" t="s">
        <v>74</v>
      </c>
      <c r="C12" s="2" t="s">
        <v>53</v>
      </c>
      <c r="D12" s="25" t="s">
        <v>75</v>
      </c>
      <c r="E12" s="2"/>
      <c r="F12" s="1" t="s">
        <v>55</v>
      </c>
      <c r="G12" s="26" t="s">
        <v>56</v>
      </c>
      <c r="H12" s="5"/>
      <c r="I12" s="27">
        <v>85000</v>
      </c>
      <c r="J12" s="2">
        <v>60</v>
      </c>
      <c r="K12" s="27">
        <f t="shared" si="0"/>
        <v>1416.6666666666667</v>
      </c>
      <c r="L12" s="2">
        <v>7</v>
      </c>
      <c r="M12" s="2" t="s">
        <v>57</v>
      </c>
      <c r="N12" s="27">
        <f t="shared" si="1"/>
        <v>9916.6666666666679</v>
      </c>
      <c r="O12" s="28">
        <f>N12/SUM(N3:N20)</f>
        <v>2.3128796684199356E-3</v>
      </c>
      <c r="P12" s="29">
        <f>N12+SUM(N31:N54)*O12</f>
        <v>13745.957418137416</v>
      </c>
      <c r="Q12" s="26">
        <v>448</v>
      </c>
      <c r="R12" s="5">
        <v>5376</v>
      </c>
      <c r="S12" s="5">
        <v>526.4</v>
      </c>
    </row>
    <row r="13" spans="1:35" ht="14.25">
      <c r="A13" s="2" t="s">
        <v>51</v>
      </c>
      <c r="B13" s="24" t="s">
        <v>76</v>
      </c>
      <c r="C13" s="2" t="s">
        <v>53</v>
      </c>
      <c r="D13" s="25" t="s">
        <v>77</v>
      </c>
      <c r="E13" s="2"/>
      <c r="F13" s="1" t="s">
        <v>55</v>
      </c>
      <c r="G13" s="26" t="s">
        <v>56</v>
      </c>
      <c r="H13" s="5"/>
      <c r="I13" s="27">
        <v>1460800</v>
      </c>
      <c r="J13" s="2">
        <v>60</v>
      </c>
      <c r="K13" s="27">
        <f t="shared" si="0"/>
        <v>24346.666666666668</v>
      </c>
      <c r="L13" s="2">
        <v>22</v>
      </c>
      <c r="M13" s="2" t="s">
        <v>57</v>
      </c>
      <c r="N13" s="27">
        <f t="shared" si="1"/>
        <v>535626.66666666674</v>
      </c>
      <c r="O13" s="28">
        <f>N13/SUM(N3:N20)</f>
        <v>0.12492504475934878</v>
      </c>
      <c r="P13" s="29">
        <f>N13+SUM(N31:N54)*O13</f>
        <v>742457.27919518156</v>
      </c>
      <c r="Q13" s="26">
        <v>352</v>
      </c>
      <c r="R13" s="5">
        <v>5632</v>
      </c>
      <c r="S13" s="5">
        <v>176</v>
      </c>
    </row>
    <row r="14" spans="1:35" ht="14.25">
      <c r="A14" s="2" t="s">
        <v>51</v>
      </c>
      <c r="B14" s="24" t="s">
        <v>78</v>
      </c>
      <c r="C14" s="2" t="s">
        <v>53</v>
      </c>
      <c r="D14" s="25" t="s">
        <v>79</v>
      </c>
      <c r="E14" s="2"/>
      <c r="F14" s="1" t="s">
        <v>55</v>
      </c>
      <c r="G14" s="26" t="s">
        <v>56</v>
      </c>
      <c r="H14" s="5"/>
      <c r="I14" s="27">
        <v>2928000</v>
      </c>
      <c r="J14" s="2">
        <v>60</v>
      </c>
      <c r="K14" s="27">
        <f t="shared" si="0"/>
        <v>48800</v>
      </c>
      <c r="L14" s="2">
        <v>8</v>
      </c>
      <c r="M14" s="2" t="s">
        <v>57</v>
      </c>
      <c r="N14" s="27">
        <f t="shared" si="1"/>
        <v>390400</v>
      </c>
      <c r="O14" s="28">
        <f>N14/SUM(N3:N20)</f>
        <v>9.105360227406481E-2</v>
      </c>
      <c r="P14" s="29">
        <f>N14+SUM(N31:N54)*O14</f>
        <v>541151.77573521133</v>
      </c>
      <c r="Q14" s="26">
        <v>256</v>
      </c>
      <c r="R14" s="5">
        <v>2048</v>
      </c>
      <c r="S14" s="5">
        <v>30.4</v>
      </c>
    </row>
    <row r="15" spans="1:35" ht="14.25">
      <c r="A15" s="2" t="s">
        <v>51</v>
      </c>
      <c r="B15" s="24" t="s">
        <v>80</v>
      </c>
      <c r="C15" s="2" t="s">
        <v>53</v>
      </c>
      <c r="D15" s="25" t="s">
        <v>81</v>
      </c>
      <c r="E15" s="2"/>
      <c r="F15" s="1" t="s">
        <v>55</v>
      </c>
      <c r="G15" s="26" t="s">
        <v>56</v>
      </c>
      <c r="H15" s="5"/>
      <c r="I15" s="27">
        <v>2959000</v>
      </c>
      <c r="J15" s="2">
        <v>60</v>
      </c>
      <c r="K15" s="27">
        <f t="shared" si="0"/>
        <v>49316.666666666664</v>
      </c>
      <c r="L15" s="2">
        <v>13</v>
      </c>
      <c r="M15" s="2" t="s">
        <v>57</v>
      </c>
      <c r="N15" s="27">
        <f t="shared" si="1"/>
        <v>641116.66666666663</v>
      </c>
      <c r="O15" s="28">
        <f>N15/SUM(N3:N20)</f>
        <v>0.1495286423615288</v>
      </c>
      <c r="P15" s="29">
        <f>N15+SUM(N31:N54)*O15</f>
        <v>888681.92269494431</v>
      </c>
      <c r="Q15" s="26">
        <v>416</v>
      </c>
      <c r="R15" s="5">
        <v>6656</v>
      </c>
      <c r="S15" s="5">
        <v>299</v>
      </c>
    </row>
    <row r="16" spans="1:35" ht="14.25">
      <c r="A16" s="2" t="s">
        <v>51</v>
      </c>
      <c r="B16" s="24" t="s">
        <v>82</v>
      </c>
      <c r="C16" s="2" t="s">
        <v>53</v>
      </c>
      <c r="D16" s="25" t="s">
        <v>83</v>
      </c>
      <c r="E16" s="2"/>
      <c r="F16" s="1" t="s">
        <v>55</v>
      </c>
      <c r="G16" s="26" t="s">
        <v>56</v>
      </c>
      <c r="H16" s="5"/>
      <c r="I16" s="27">
        <v>36628</v>
      </c>
      <c r="J16" s="2">
        <v>60</v>
      </c>
      <c r="K16" s="27">
        <f t="shared" si="0"/>
        <v>610.4666666666667</v>
      </c>
      <c r="L16" s="2">
        <v>2</v>
      </c>
      <c r="M16" s="2" t="s">
        <v>57</v>
      </c>
      <c r="N16" s="27">
        <f t="shared" si="1"/>
        <v>1220.9333333333334</v>
      </c>
      <c r="O16" s="28">
        <f>N16/SUM(N3:N20)</f>
        <v>2.8476018989877444E-4</v>
      </c>
      <c r="P16" s="29">
        <f>N16+SUM(N31:N54)*O16</f>
        <v>1692.3930363413015</v>
      </c>
      <c r="Q16" s="26">
        <v>64</v>
      </c>
      <c r="R16" s="5">
        <v>1536</v>
      </c>
      <c r="S16" s="5">
        <v>46</v>
      </c>
    </row>
    <row r="17" spans="1:19" ht="14.25">
      <c r="A17" s="2" t="s">
        <v>51</v>
      </c>
      <c r="B17" s="24" t="s">
        <v>84</v>
      </c>
      <c r="C17" s="2" t="s">
        <v>53</v>
      </c>
      <c r="D17" s="25" t="s">
        <v>85</v>
      </c>
      <c r="E17" s="2"/>
      <c r="F17" s="1" t="s">
        <v>55</v>
      </c>
      <c r="G17" s="26" t="s">
        <v>56</v>
      </c>
      <c r="H17" s="5"/>
      <c r="I17" s="27">
        <v>36120</v>
      </c>
      <c r="J17" s="2">
        <v>60</v>
      </c>
      <c r="K17" s="27">
        <f t="shared" si="0"/>
        <v>602</v>
      </c>
      <c r="L17" s="2">
        <v>10</v>
      </c>
      <c r="M17" s="2" t="s">
        <v>57</v>
      </c>
      <c r="N17" s="27">
        <f t="shared" si="1"/>
        <v>6020</v>
      </c>
      <c r="O17" s="28">
        <f>N17/SUM(N3:N20)</f>
        <v>1.4040540104761018E-3</v>
      </c>
      <c r="P17" s="29">
        <f>N17+SUM(N31:N54)*O17</f>
        <v>8344.6047385398888</v>
      </c>
      <c r="Q17" s="26">
        <v>640</v>
      </c>
      <c r="R17" s="5">
        <v>20480</v>
      </c>
      <c r="S17" s="5">
        <v>300</v>
      </c>
    </row>
    <row r="18" spans="1:19" ht="14.25">
      <c r="A18" s="2" t="s">
        <v>51</v>
      </c>
      <c r="B18" s="24" t="s">
        <v>86</v>
      </c>
      <c r="C18" s="2" t="s">
        <v>53</v>
      </c>
      <c r="D18" s="25" t="s">
        <v>87</v>
      </c>
      <c r="E18" s="2"/>
      <c r="F18" s="1" t="s">
        <v>55</v>
      </c>
      <c r="G18" s="26" t="s">
        <v>56</v>
      </c>
      <c r="H18" s="5"/>
      <c r="I18" s="27">
        <v>64111</v>
      </c>
      <c r="J18" s="2">
        <v>60</v>
      </c>
      <c r="K18" s="27">
        <f t="shared" si="0"/>
        <v>1068.5166666666667</v>
      </c>
      <c r="L18" s="2">
        <v>8</v>
      </c>
      <c r="M18" s="2" t="s">
        <v>57</v>
      </c>
      <c r="N18" s="27">
        <f t="shared" si="1"/>
        <v>8548.1333333333332</v>
      </c>
      <c r="O18" s="28">
        <f>N18/SUM(N3:N20)</f>
        <v>1.993694499792544E-3</v>
      </c>
      <c r="P18" s="29">
        <f>N18+SUM(N31:N54)*O18</f>
        <v>11848.969089535565</v>
      </c>
      <c r="Q18" s="26">
        <v>768</v>
      </c>
      <c r="R18" s="5">
        <v>16384</v>
      </c>
      <c r="S18" s="5">
        <v>240</v>
      </c>
    </row>
    <row r="19" spans="1:19" ht="14.25">
      <c r="A19" s="2" t="s">
        <v>51</v>
      </c>
      <c r="B19" s="24" t="s">
        <v>88</v>
      </c>
      <c r="C19" s="2" t="s">
        <v>53</v>
      </c>
      <c r="D19" s="25" t="s">
        <v>89</v>
      </c>
      <c r="E19" s="2"/>
      <c r="F19" s="1" t="s">
        <v>55</v>
      </c>
      <c r="G19" s="26" t="s">
        <v>56</v>
      </c>
      <c r="H19" s="5"/>
      <c r="I19" s="27">
        <v>81200</v>
      </c>
      <c r="J19" s="2">
        <v>60</v>
      </c>
      <c r="K19" s="27">
        <f t="shared" si="0"/>
        <v>1353.3333333333333</v>
      </c>
      <c r="L19" s="2">
        <v>9</v>
      </c>
      <c r="M19" s="2" t="s">
        <v>57</v>
      </c>
      <c r="N19" s="27">
        <f t="shared" si="1"/>
        <v>12180</v>
      </c>
      <c r="O19" s="28">
        <f>N19/SUM(N3:N20)</f>
        <v>2.840760439800485E-3</v>
      </c>
      <c r="P19" s="29">
        <f>N19+SUM(N31:N54)*O19</f>
        <v>16883.270052394659</v>
      </c>
      <c r="Q19" s="26">
        <v>882</v>
      </c>
      <c r="R19" s="5">
        <v>18432</v>
      </c>
      <c r="S19" s="5">
        <v>270</v>
      </c>
    </row>
    <row r="20" spans="1:19" ht="14.25">
      <c r="A20" s="2" t="s">
        <v>51</v>
      </c>
      <c r="B20" s="2" t="s">
        <v>90</v>
      </c>
      <c r="C20" s="2" t="s">
        <v>90</v>
      </c>
      <c r="D20" s="2" t="s">
        <v>91</v>
      </c>
      <c r="E20" s="2"/>
      <c r="F20" s="1" t="s">
        <v>55</v>
      </c>
      <c r="G20" s="26" t="s">
        <v>56</v>
      </c>
      <c r="H20" s="33"/>
      <c r="I20" s="27">
        <v>285999.99</v>
      </c>
      <c r="J20" s="2">
        <v>60</v>
      </c>
      <c r="K20" s="27">
        <f t="shared" si="0"/>
        <v>4766.6665000000003</v>
      </c>
      <c r="L20" s="2">
        <v>8</v>
      </c>
      <c r="M20" s="2" t="s">
        <v>57</v>
      </c>
      <c r="N20" s="27">
        <f t="shared" si="1"/>
        <v>38133.332000000002</v>
      </c>
      <c r="O20" s="28">
        <f>N20/SUM(N3:N20)</f>
        <v>8.8938966324612415E-3</v>
      </c>
      <c r="P20" s="29">
        <f>N20+SUM(N31:N54)*O20</f>
        <v>52858.40247566691</v>
      </c>
      <c r="Q20" s="34" t="s">
        <v>92</v>
      </c>
      <c r="R20" s="34" t="s">
        <v>92</v>
      </c>
      <c r="S20" s="5">
        <v>800</v>
      </c>
    </row>
    <row r="21" spans="1:19" ht="14.25">
      <c r="A21" s="2" t="s">
        <v>51</v>
      </c>
      <c r="B21" s="35" t="s">
        <v>93</v>
      </c>
      <c r="C21" s="2" t="s">
        <v>94</v>
      </c>
      <c r="D21" s="36" t="s">
        <v>69</v>
      </c>
      <c r="E21" s="2"/>
      <c r="F21" s="1" t="s">
        <v>55</v>
      </c>
      <c r="G21" s="26" t="s">
        <v>56</v>
      </c>
      <c r="H21" s="37"/>
      <c r="I21" s="27">
        <v>104400</v>
      </c>
      <c r="J21" s="2">
        <v>60</v>
      </c>
      <c r="K21" s="27">
        <f t="shared" si="0"/>
        <v>1740</v>
      </c>
      <c r="L21" s="2">
        <v>50</v>
      </c>
      <c r="M21" s="2" t="s">
        <v>57</v>
      </c>
      <c r="N21" s="27">
        <f t="shared" si="1"/>
        <v>87000</v>
      </c>
      <c r="O21" s="38">
        <f>N21/SUM(N15:N32)</f>
        <v>6.2115839769612442E-2</v>
      </c>
      <c r="P21" s="39">
        <f>N21+SUM(N38:N62)*O21</f>
        <v>139838.07445403328</v>
      </c>
      <c r="Q21" s="40">
        <v>1600</v>
      </c>
      <c r="R21" s="37">
        <v>12800</v>
      </c>
      <c r="S21" s="37">
        <v>2400</v>
      </c>
    </row>
    <row r="22" spans="1:19" ht="14.25">
      <c r="A22" s="2" t="s">
        <v>51</v>
      </c>
      <c r="B22" s="35" t="s">
        <v>95</v>
      </c>
      <c r="C22" s="2" t="s">
        <v>94</v>
      </c>
      <c r="D22" s="36" t="s">
        <v>71</v>
      </c>
      <c r="E22" s="2"/>
      <c r="F22" s="1" t="s">
        <v>55</v>
      </c>
      <c r="G22" s="26" t="s">
        <v>56</v>
      </c>
      <c r="H22" s="37"/>
      <c r="I22" s="27">
        <v>40000</v>
      </c>
      <c r="J22" s="2">
        <v>60</v>
      </c>
      <c r="K22" s="27">
        <f t="shared" si="0"/>
        <v>666.66666666666663</v>
      </c>
      <c r="L22" s="2">
        <v>26</v>
      </c>
      <c r="M22" s="2" t="s">
        <v>57</v>
      </c>
      <c r="N22" s="27">
        <f t="shared" si="1"/>
        <v>17333.333333333332</v>
      </c>
      <c r="O22" s="38">
        <f>N22/SUM(N15:N32)</f>
        <v>1.2375569609271444E-2</v>
      </c>
      <c r="P22" s="39">
        <f>N22+SUM(N38:N62)*O22</f>
        <v>27860.459278198199</v>
      </c>
      <c r="Q22" s="40">
        <v>832</v>
      </c>
      <c r="R22" s="37">
        <v>6656</v>
      </c>
      <c r="S22" s="37">
        <v>1872</v>
      </c>
    </row>
    <row r="23" spans="1:19" ht="14.25">
      <c r="A23" s="2" t="s">
        <v>51</v>
      </c>
      <c r="B23" s="35" t="s">
        <v>96</v>
      </c>
      <c r="C23" s="2" t="s">
        <v>94</v>
      </c>
      <c r="D23" s="36" t="s">
        <v>73</v>
      </c>
      <c r="E23" s="2"/>
      <c r="F23" s="1" t="s">
        <v>55</v>
      </c>
      <c r="G23" s="26" t="s">
        <v>56</v>
      </c>
      <c r="H23" s="37"/>
      <c r="I23" s="27">
        <v>61949</v>
      </c>
      <c r="J23" s="2">
        <v>60</v>
      </c>
      <c r="K23" s="27">
        <f t="shared" si="0"/>
        <v>1032.4833333333333</v>
      </c>
      <c r="L23" s="2">
        <v>33</v>
      </c>
      <c r="M23" s="2" t="s">
        <v>57</v>
      </c>
      <c r="N23" s="27">
        <f t="shared" si="1"/>
        <v>34071.949999999997</v>
      </c>
      <c r="O23" s="38">
        <f>N23/SUM(N15:N32)</f>
        <v>2.4326526285497085E-2</v>
      </c>
      <c r="P23" s="39">
        <f>N23+SUM(N38:N62)*O23</f>
        <v>54765.010125219524</v>
      </c>
      <c r="Q23" s="40">
        <v>1056</v>
      </c>
      <c r="R23" s="37">
        <v>8448</v>
      </c>
      <c r="S23" s="37">
        <v>1122</v>
      </c>
    </row>
    <row r="24" spans="1:19" ht="14.25">
      <c r="A24" s="2" t="s">
        <v>51</v>
      </c>
      <c r="B24" s="35" t="s">
        <v>97</v>
      </c>
      <c r="C24" s="2" t="s">
        <v>94</v>
      </c>
      <c r="D24" s="36" t="s">
        <v>75</v>
      </c>
      <c r="E24" s="2"/>
      <c r="F24" s="1" t="s">
        <v>55</v>
      </c>
      <c r="G24" s="41" t="s">
        <v>56</v>
      </c>
      <c r="H24" s="37"/>
      <c r="I24" s="27">
        <v>85000</v>
      </c>
      <c r="J24" s="2">
        <v>60</v>
      </c>
      <c r="K24" s="27">
        <f t="shared" si="0"/>
        <v>1416.6666666666667</v>
      </c>
      <c r="L24" s="2">
        <v>7</v>
      </c>
      <c r="M24" s="2" t="s">
        <v>57</v>
      </c>
      <c r="N24" s="27">
        <f t="shared" si="1"/>
        <v>9916.6666666666679</v>
      </c>
      <c r="O24" s="38">
        <f>N24/SUM(N15:N32)</f>
        <v>7.0802537668427984E-3</v>
      </c>
      <c r="P24" s="39">
        <f>N24+SUM(N38:N62)*O24</f>
        <v>15939.397375507626</v>
      </c>
      <c r="Q24" s="40">
        <v>448</v>
      </c>
      <c r="R24" s="37">
        <v>5376</v>
      </c>
      <c r="S24" s="37">
        <v>526.4</v>
      </c>
    </row>
    <row r="25" spans="1:19" ht="14.25">
      <c r="A25" s="2" t="s">
        <v>51</v>
      </c>
      <c r="B25" s="2" t="s">
        <v>98</v>
      </c>
      <c r="C25" s="2" t="s">
        <v>99</v>
      </c>
      <c r="D25" s="42"/>
      <c r="E25" s="2"/>
      <c r="F25" s="1"/>
      <c r="G25" s="26"/>
      <c r="H25" s="2"/>
      <c r="I25" s="27"/>
      <c r="J25" s="2"/>
      <c r="K25" s="27"/>
      <c r="L25" s="2"/>
      <c r="M25" s="2"/>
      <c r="N25" s="27"/>
      <c r="O25" s="34"/>
      <c r="P25" s="34"/>
      <c r="Q25" s="43"/>
      <c r="R25" s="42"/>
      <c r="S25" s="42"/>
    </row>
    <row r="26" spans="1:19" ht="14.25">
      <c r="A26" s="2" t="s">
        <v>51</v>
      </c>
      <c r="B26" s="2" t="s">
        <v>100</v>
      </c>
      <c r="C26" s="2" t="s">
        <v>14</v>
      </c>
      <c r="D26" s="42"/>
      <c r="E26" s="2"/>
      <c r="F26" s="1"/>
      <c r="G26" s="26"/>
      <c r="H26" s="2"/>
      <c r="I26" s="27"/>
      <c r="J26" s="2"/>
      <c r="K26" s="27"/>
      <c r="L26" s="2"/>
      <c r="M26" s="2"/>
      <c r="N26" s="27"/>
      <c r="O26" s="34"/>
      <c r="P26" s="34"/>
      <c r="Q26" s="42"/>
      <c r="R26" s="42"/>
      <c r="S26" s="42"/>
    </row>
    <row r="27" spans="1:19" ht="14.25">
      <c r="A27" s="2" t="s">
        <v>51</v>
      </c>
      <c r="B27" s="2" t="s">
        <v>101</v>
      </c>
      <c r="C27" s="2" t="s">
        <v>14</v>
      </c>
      <c r="D27" s="42"/>
      <c r="E27" s="2"/>
      <c r="F27" s="1"/>
      <c r="G27" s="26"/>
      <c r="H27" s="2"/>
      <c r="I27" s="27"/>
      <c r="J27" s="2"/>
      <c r="K27" s="27"/>
      <c r="L27" s="2"/>
      <c r="M27" s="2"/>
      <c r="N27" s="27"/>
      <c r="O27" s="34"/>
      <c r="P27" s="34"/>
      <c r="Q27" s="42"/>
      <c r="R27" s="42"/>
      <c r="S27" s="42"/>
    </row>
    <row r="28" spans="1:19" ht="14.25">
      <c r="A28" s="2" t="s">
        <v>102</v>
      </c>
      <c r="B28" s="2" t="s">
        <v>103</v>
      </c>
      <c r="C28" s="2" t="s">
        <v>14</v>
      </c>
      <c r="D28" s="42" t="s">
        <v>92</v>
      </c>
      <c r="E28" s="44"/>
      <c r="F28" s="45" t="s">
        <v>55</v>
      </c>
      <c r="G28" s="2" t="s">
        <v>104</v>
      </c>
      <c r="H28" s="46"/>
      <c r="I28" s="47">
        <v>2880000</v>
      </c>
      <c r="J28" s="2">
        <v>60</v>
      </c>
      <c r="K28" s="27">
        <f t="shared" ref="K28:K35" si="2">I28/J28</f>
        <v>48000</v>
      </c>
      <c r="L28" s="2">
        <v>1</v>
      </c>
      <c r="M28" s="2" t="s">
        <v>7</v>
      </c>
      <c r="N28" s="27">
        <f t="shared" ref="N28:N35" si="3">K28*L28</f>
        <v>48000</v>
      </c>
      <c r="O28" s="34" t="s">
        <v>92</v>
      </c>
      <c r="P28" s="34" t="s">
        <v>92</v>
      </c>
      <c r="Q28" s="42" t="s">
        <v>92</v>
      </c>
      <c r="R28" s="48" t="s">
        <v>92</v>
      </c>
      <c r="S28" s="48" t="s">
        <v>92</v>
      </c>
    </row>
    <row r="29" spans="1:19" ht="14.25">
      <c r="A29" s="2" t="s">
        <v>105</v>
      </c>
      <c r="B29" s="2" t="s">
        <v>106</v>
      </c>
      <c r="C29" s="2" t="s">
        <v>107</v>
      </c>
      <c r="D29" s="42" t="s">
        <v>92</v>
      </c>
      <c r="E29" s="2"/>
      <c r="F29" s="1" t="s">
        <v>108</v>
      </c>
      <c r="G29" s="26" t="s">
        <v>56</v>
      </c>
      <c r="H29" s="49"/>
      <c r="I29" s="50">
        <v>3371115</v>
      </c>
      <c r="J29" s="2">
        <v>12</v>
      </c>
      <c r="K29" s="27">
        <f t="shared" si="2"/>
        <v>280926.25</v>
      </c>
      <c r="L29" s="2">
        <v>1</v>
      </c>
      <c r="M29" s="2" t="s">
        <v>7</v>
      </c>
      <c r="N29" s="27">
        <f t="shared" si="3"/>
        <v>280926.25</v>
      </c>
      <c r="O29" s="34" t="s">
        <v>92</v>
      </c>
      <c r="P29" s="27">
        <v>280926.25</v>
      </c>
      <c r="Q29" s="42" t="s">
        <v>92</v>
      </c>
      <c r="R29" s="48" t="s">
        <v>92</v>
      </c>
      <c r="S29" s="48" t="s">
        <v>92</v>
      </c>
    </row>
    <row r="30" spans="1:19" ht="14.25">
      <c r="A30" s="2" t="s">
        <v>105</v>
      </c>
      <c r="B30" s="2" t="s">
        <v>109</v>
      </c>
      <c r="C30" s="2" t="s">
        <v>109</v>
      </c>
      <c r="D30" s="42" t="s">
        <v>92</v>
      </c>
      <c r="E30" s="2"/>
      <c r="F30" s="1" t="s">
        <v>108</v>
      </c>
      <c r="G30" s="41" t="s">
        <v>56</v>
      </c>
      <c r="H30" s="51"/>
      <c r="I30" s="52">
        <v>1173700</v>
      </c>
      <c r="J30" s="2">
        <v>12</v>
      </c>
      <c r="K30" s="27">
        <f t="shared" si="2"/>
        <v>97808.333333333328</v>
      </c>
      <c r="L30" s="2">
        <v>1</v>
      </c>
      <c r="M30" s="2" t="s">
        <v>7</v>
      </c>
      <c r="N30" s="27">
        <f t="shared" si="3"/>
        <v>97808.333333333328</v>
      </c>
      <c r="O30" s="34" t="s">
        <v>92</v>
      </c>
      <c r="P30" s="53">
        <v>97808.333333333299</v>
      </c>
      <c r="Q30" s="42" t="s">
        <v>92</v>
      </c>
      <c r="R30" s="48" t="s">
        <v>92</v>
      </c>
      <c r="S30" s="48" t="s">
        <v>92</v>
      </c>
    </row>
    <row r="31" spans="1:19" ht="14.25">
      <c r="A31" s="2" t="s">
        <v>51</v>
      </c>
      <c r="B31" s="2" t="s">
        <v>110</v>
      </c>
      <c r="C31" s="2" t="s">
        <v>110</v>
      </c>
      <c r="D31" s="42" t="s">
        <v>92</v>
      </c>
      <c r="E31" s="2"/>
      <c r="F31" s="1" t="s">
        <v>55</v>
      </c>
      <c r="G31" s="2" t="s">
        <v>104</v>
      </c>
      <c r="H31" s="54"/>
      <c r="I31" s="27">
        <v>250000</v>
      </c>
      <c r="J31" s="2">
        <v>60</v>
      </c>
      <c r="K31" s="27">
        <f t="shared" si="2"/>
        <v>4166.666666666667</v>
      </c>
      <c r="L31" s="2">
        <v>14</v>
      </c>
      <c r="M31" s="2" t="s">
        <v>57</v>
      </c>
      <c r="N31" s="27">
        <f t="shared" si="3"/>
        <v>58333.333333333336</v>
      </c>
      <c r="O31" s="34" t="s">
        <v>92</v>
      </c>
      <c r="P31" s="34" t="s">
        <v>92</v>
      </c>
      <c r="Q31" s="42" t="s">
        <v>92</v>
      </c>
      <c r="R31" s="48" t="s">
        <v>92</v>
      </c>
      <c r="S31" s="48" t="s">
        <v>92</v>
      </c>
    </row>
    <row r="32" spans="1:19" ht="14.25">
      <c r="A32" s="2" t="s">
        <v>51</v>
      </c>
      <c r="B32" s="2" t="s">
        <v>111</v>
      </c>
      <c r="C32" s="2" t="s">
        <v>108</v>
      </c>
      <c r="D32" s="42" t="s">
        <v>92</v>
      </c>
      <c r="E32" s="2"/>
      <c r="F32" s="1" t="s">
        <v>55</v>
      </c>
      <c r="G32" s="2" t="s">
        <v>104</v>
      </c>
      <c r="H32" s="55"/>
      <c r="I32" s="27">
        <v>300000</v>
      </c>
      <c r="J32" s="2">
        <v>60</v>
      </c>
      <c r="K32" s="27">
        <f t="shared" si="2"/>
        <v>5000</v>
      </c>
      <c r="L32" s="2">
        <v>12</v>
      </c>
      <c r="M32" s="2" t="s">
        <v>57</v>
      </c>
      <c r="N32" s="27">
        <f t="shared" si="3"/>
        <v>60000</v>
      </c>
      <c r="O32" s="34" t="s">
        <v>92</v>
      </c>
      <c r="P32" s="34" t="s">
        <v>92</v>
      </c>
      <c r="Q32" s="42" t="s">
        <v>92</v>
      </c>
      <c r="R32" s="48" t="s">
        <v>92</v>
      </c>
      <c r="S32" s="48" t="s">
        <v>92</v>
      </c>
    </row>
    <row r="33" spans="1:19" ht="14.25">
      <c r="A33" s="2" t="s">
        <v>51</v>
      </c>
      <c r="B33" s="2" t="s">
        <v>112</v>
      </c>
      <c r="C33" s="2" t="s">
        <v>108</v>
      </c>
      <c r="D33" s="42" t="s">
        <v>92</v>
      </c>
      <c r="E33" s="2"/>
      <c r="F33" s="1" t="s">
        <v>55</v>
      </c>
      <c r="G33" s="2" t="s">
        <v>104</v>
      </c>
      <c r="H33" s="55"/>
      <c r="I33" s="27">
        <v>200000</v>
      </c>
      <c r="J33" s="2">
        <v>60</v>
      </c>
      <c r="K33" s="27">
        <f t="shared" si="2"/>
        <v>3333.3333333333335</v>
      </c>
      <c r="L33" s="2">
        <v>10</v>
      </c>
      <c r="M33" s="2" t="s">
        <v>57</v>
      </c>
      <c r="N33" s="27">
        <f t="shared" si="3"/>
        <v>33333.333333333336</v>
      </c>
      <c r="O33" s="34" t="s">
        <v>92</v>
      </c>
      <c r="P33" s="34" t="s">
        <v>92</v>
      </c>
      <c r="Q33" s="42" t="s">
        <v>92</v>
      </c>
      <c r="R33" s="48" t="s">
        <v>92</v>
      </c>
      <c r="S33" s="48" t="s">
        <v>92</v>
      </c>
    </row>
    <row r="34" spans="1:19" ht="14.25">
      <c r="A34" s="2" t="s">
        <v>51</v>
      </c>
      <c r="B34" s="2" t="s">
        <v>113</v>
      </c>
      <c r="C34" s="2" t="s">
        <v>108</v>
      </c>
      <c r="D34" s="42" t="s">
        <v>92</v>
      </c>
      <c r="E34" s="2"/>
      <c r="F34" s="1" t="s">
        <v>55</v>
      </c>
      <c r="G34" s="2" t="s">
        <v>104</v>
      </c>
      <c r="H34" s="56"/>
      <c r="I34" s="57">
        <v>50000</v>
      </c>
      <c r="J34" s="2">
        <v>60</v>
      </c>
      <c r="K34" s="27">
        <f t="shared" si="2"/>
        <v>833.33333333333337</v>
      </c>
      <c r="L34" s="2">
        <v>700</v>
      </c>
      <c r="M34" s="2" t="s">
        <v>57</v>
      </c>
      <c r="N34" s="27">
        <f t="shared" si="3"/>
        <v>583333.33333333337</v>
      </c>
      <c r="O34" s="34" t="s">
        <v>92</v>
      </c>
      <c r="P34" s="34" t="s">
        <v>92</v>
      </c>
      <c r="Q34" s="42" t="s">
        <v>92</v>
      </c>
      <c r="R34" s="48" t="s">
        <v>92</v>
      </c>
      <c r="S34" s="48" t="s">
        <v>92</v>
      </c>
    </row>
    <row r="35" spans="1:19" ht="14.25">
      <c r="A35" s="2" t="s">
        <v>51</v>
      </c>
      <c r="B35" s="2" t="s">
        <v>114</v>
      </c>
      <c r="C35" s="2" t="s">
        <v>108</v>
      </c>
      <c r="D35" s="42" t="s">
        <v>92</v>
      </c>
      <c r="E35" s="2"/>
      <c r="F35" s="1" t="s">
        <v>55</v>
      </c>
      <c r="G35" s="26" t="s">
        <v>104</v>
      </c>
      <c r="H35" s="58"/>
      <c r="I35" s="59">
        <v>300000</v>
      </c>
      <c r="J35" s="2">
        <v>60</v>
      </c>
      <c r="K35" s="27">
        <f t="shared" si="2"/>
        <v>5000</v>
      </c>
      <c r="L35" s="46">
        <v>14</v>
      </c>
      <c r="M35" s="2" t="s">
        <v>57</v>
      </c>
      <c r="N35" s="47">
        <f t="shared" si="3"/>
        <v>70000</v>
      </c>
      <c r="O35" s="34" t="s">
        <v>92</v>
      </c>
      <c r="P35" s="34" t="s">
        <v>92</v>
      </c>
      <c r="Q35" s="42" t="s">
        <v>92</v>
      </c>
      <c r="R35" s="48" t="s">
        <v>92</v>
      </c>
      <c r="S35" s="48" t="s">
        <v>92</v>
      </c>
    </row>
    <row r="36" spans="1:19" ht="14.25">
      <c r="A36" s="2" t="s">
        <v>51</v>
      </c>
      <c r="B36" s="2" t="s">
        <v>115</v>
      </c>
      <c r="C36" s="2" t="s">
        <v>116</v>
      </c>
      <c r="D36" s="42"/>
      <c r="E36" s="2"/>
      <c r="F36" s="1" t="s">
        <v>55</v>
      </c>
      <c r="G36" s="2" t="s">
        <v>104</v>
      </c>
      <c r="H36" s="60"/>
      <c r="I36" s="47"/>
      <c r="J36" s="2"/>
      <c r="K36" s="2"/>
      <c r="L36" s="2"/>
      <c r="M36" s="2"/>
      <c r="N36" s="2"/>
      <c r="O36" s="38"/>
      <c r="P36" s="35"/>
      <c r="Q36" s="40"/>
      <c r="R36" s="37"/>
      <c r="S36" s="37"/>
    </row>
    <row r="37" spans="1:19" ht="14.25">
      <c r="A37" s="2" t="s">
        <v>51</v>
      </c>
      <c r="B37" s="2" t="s">
        <v>117</v>
      </c>
      <c r="C37" s="2" t="s">
        <v>116</v>
      </c>
      <c r="D37" s="42"/>
      <c r="E37" s="2"/>
      <c r="F37" s="1" t="s">
        <v>55</v>
      </c>
      <c r="G37" s="2" t="s">
        <v>104</v>
      </c>
      <c r="H37" s="55"/>
      <c r="I37" s="27"/>
      <c r="J37" s="2"/>
      <c r="K37" s="2"/>
      <c r="L37" s="2"/>
      <c r="M37" s="2"/>
      <c r="N37" s="2"/>
      <c r="O37" s="38"/>
      <c r="P37" s="35"/>
      <c r="Q37" s="40"/>
      <c r="R37" s="37"/>
      <c r="S37" s="37"/>
    </row>
    <row r="38" spans="1:19" ht="14.25">
      <c r="A38" s="2" t="s">
        <v>51</v>
      </c>
      <c r="B38" s="2" t="s">
        <v>118</v>
      </c>
      <c r="C38" s="2" t="s">
        <v>116</v>
      </c>
      <c r="D38" s="42"/>
      <c r="E38" s="2"/>
      <c r="F38" s="1" t="s">
        <v>55</v>
      </c>
      <c r="G38" s="2" t="s">
        <v>104</v>
      </c>
      <c r="H38" s="61"/>
      <c r="I38" s="62"/>
      <c r="J38" s="2"/>
      <c r="K38" s="2"/>
      <c r="L38" s="2"/>
      <c r="M38" s="2"/>
      <c r="N38" s="2"/>
      <c r="O38" s="38"/>
      <c r="P38" s="35"/>
      <c r="Q38" s="40"/>
      <c r="R38" s="37"/>
      <c r="S38" s="37"/>
    </row>
    <row r="39" spans="1:19" ht="14.25">
      <c r="A39" s="2" t="s">
        <v>51</v>
      </c>
      <c r="B39" s="2" t="s">
        <v>119</v>
      </c>
      <c r="C39" s="2" t="s">
        <v>116</v>
      </c>
      <c r="D39" s="42"/>
      <c r="E39" s="2"/>
      <c r="F39" s="1" t="s">
        <v>55</v>
      </c>
      <c r="G39" s="2" t="s">
        <v>104</v>
      </c>
      <c r="H39" s="55"/>
      <c r="I39" s="27"/>
      <c r="J39" s="2"/>
      <c r="K39" s="2"/>
      <c r="L39" s="2"/>
      <c r="M39" s="46"/>
      <c r="N39" s="46"/>
      <c r="O39" s="38"/>
      <c r="P39" s="35"/>
      <c r="Q39" s="40"/>
      <c r="R39" s="37"/>
      <c r="S39" s="37"/>
    </row>
    <row r="40" spans="1:19" ht="14.25">
      <c r="A40" s="2" t="s">
        <v>51</v>
      </c>
      <c r="B40" s="2" t="s">
        <v>120</v>
      </c>
      <c r="C40" s="2" t="s">
        <v>116</v>
      </c>
      <c r="D40" s="42"/>
      <c r="E40" s="2"/>
      <c r="F40" s="1" t="s">
        <v>55</v>
      </c>
      <c r="G40" s="2" t="s">
        <v>104</v>
      </c>
      <c r="H40" s="55"/>
      <c r="I40" s="63"/>
      <c r="J40" s="2"/>
      <c r="K40" s="2"/>
      <c r="L40" s="2"/>
      <c r="M40" s="46"/>
      <c r="N40" s="46"/>
      <c r="O40" s="38"/>
      <c r="P40" s="35"/>
      <c r="Q40" s="40"/>
      <c r="R40" s="37"/>
      <c r="S40" s="37"/>
    </row>
    <row r="41" spans="1:19" ht="14.25">
      <c r="A41" s="2" t="s">
        <v>102</v>
      </c>
      <c r="B41" s="2" t="s">
        <v>121</v>
      </c>
      <c r="C41" s="2" t="s">
        <v>121</v>
      </c>
      <c r="D41" s="42" t="s">
        <v>92</v>
      </c>
      <c r="E41" s="2"/>
      <c r="F41" s="1" t="s">
        <v>55</v>
      </c>
      <c r="G41" s="26" t="s">
        <v>104</v>
      </c>
      <c r="H41" s="64"/>
      <c r="I41" s="59">
        <v>85000</v>
      </c>
      <c r="J41" s="2">
        <v>60</v>
      </c>
      <c r="K41" s="27">
        <f t="shared" ref="K41:K53" si="4">I41/J41</f>
        <v>1416.6666666666667</v>
      </c>
      <c r="L41" s="2">
        <v>1</v>
      </c>
      <c r="M41" s="2" t="s">
        <v>7</v>
      </c>
      <c r="N41" s="27">
        <f t="shared" ref="N41:N53" si="5">K41*L41</f>
        <v>1416.6666666666667</v>
      </c>
      <c r="O41" s="34" t="s">
        <v>92</v>
      </c>
      <c r="P41" s="34" t="s">
        <v>92</v>
      </c>
      <c r="Q41" s="42" t="s">
        <v>92</v>
      </c>
      <c r="R41" s="48" t="s">
        <v>92</v>
      </c>
      <c r="S41" s="48" t="s">
        <v>92</v>
      </c>
    </row>
    <row r="42" spans="1:19" ht="46.5" customHeight="1">
      <c r="A42" s="2" t="s">
        <v>122</v>
      </c>
      <c r="B42" s="2" t="s">
        <v>123</v>
      </c>
      <c r="C42" s="2" t="s">
        <v>123</v>
      </c>
      <c r="D42" s="42" t="s">
        <v>92</v>
      </c>
      <c r="E42" s="2"/>
      <c r="F42" s="1" t="s">
        <v>55</v>
      </c>
      <c r="G42" s="2" t="s">
        <v>104</v>
      </c>
      <c r="H42" s="65" t="s">
        <v>124</v>
      </c>
      <c r="I42" s="66">
        <v>30230000</v>
      </c>
      <c r="J42" s="2">
        <v>120</v>
      </c>
      <c r="K42" s="27">
        <f t="shared" si="4"/>
        <v>251916.66666666666</v>
      </c>
      <c r="L42" s="2">
        <v>1</v>
      </c>
      <c r="M42" s="67" t="s">
        <v>125</v>
      </c>
      <c r="N42" s="57">
        <f t="shared" si="5"/>
        <v>251916.66666666666</v>
      </c>
      <c r="O42" s="34" t="s">
        <v>92</v>
      </c>
      <c r="P42" s="34" t="s">
        <v>92</v>
      </c>
      <c r="Q42" s="42" t="s">
        <v>92</v>
      </c>
      <c r="R42" s="48" t="s">
        <v>92</v>
      </c>
      <c r="S42" s="48" t="s">
        <v>92</v>
      </c>
    </row>
    <row r="43" spans="1:19" ht="14.25">
      <c r="A43" s="2" t="s">
        <v>122</v>
      </c>
      <c r="B43" s="2" t="s">
        <v>126</v>
      </c>
      <c r="C43" s="2" t="s">
        <v>126</v>
      </c>
      <c r="D43" s="42" t="s">
        <v>92</v>
      </c>
      <c r="E43" s="2"/>
      <c r="F43" s="1" t="s">
        <v>55</v>
      </c>
      <c r="G43" s="2" t="s">
        <v>104</v>
      </c>
      <c r="H43" s="2"/>
      <c r="I43" s="27">
        <v>4.5</v>
      </c>
      <c r="J43" s="2">
        <v>240</v>
      </c>
      <c r="K43" s="27">
        <f t="shared" si="4"/>
        <v>1.8749999999999999E-2</v>
      </c>
      <c r="L43" s="68">
        <v>1560</v>
      </c>
      <c r="M43" s="64" t="s">
        <v>127</v>
      </c>
      <c r="N43" s="59">
        <f t="shared" si="5"/>
        <v>29.25</v>
      </c>
      <c r="O43" s="34" t="s">
        <v>92</v>
      </c>
      <c r="P43" s="34" t="s">
        <v>92</v>
      </c>
      <c r="Q43" s="42" t="s">
        <v>92</v>
      </c>
      <c r="R43" s="48" t="s">
        <v>92</v>
      </c>
      <c r="S43" s="48" t="s">
        <v>92</v>
      </c>
    </row>
    <row r="44" spans="1:19" ht="14.25">
      <c r="A44" s="2" t="s">
        <v>128</v>
      </c>
      <c r="B44" s="2" t="s">
        <v>129</v>
      </c>
      <c r="C44" s="2" t="s">
        <v>129</v>
      </c>
      <c r="D44" s="42" t="s">
        <v>92</v>
      </c>
      <c r="E44" s="2"/>
      <c r="F44" s="1" t="s">
        <v>55</v>
      </c>
      <c r="G44" s="2" t="s">
        <v>104</v>
      </c>
      <c r="H44" s="2"/>
      <c r="I44" s="69">
        <v>350000</v>
      </c>
      <c r="J44" s="2">
        <v>12</v>
      </c>
      <c r="K44" s="27">
        <f t="shared" si="4"/>
        <v>29166.666666666668</v>
      </c>
      <c r="L44" s="26">
        <v>1</v>
      </c>
      <c r="M44" s="64" t="s">
        <v>7</v>
      </c>
      <c r="N44" s="59">
        <f t="shared" si="5"/>
        <v>29166.666666666668</v>
      </c>
      <c r="O44" s="34" t="s">
        <v>92</v>
      </c>
      <c r="P44" s="34" t="s">
        <v>92</v>
      </c>
      <c r="Q44" s="42" t="s">
        <v>92</v>
      </c>
      <c r="R44" s="48" t="s">
        <v>92</v>
      </c>
      <c r="S44" s="48" t="s">
        <v>92</v>
      </c>
    </row>
    <row r="45" spans="1:19" ht="14.25">
      <c r="A45" s="2" t="s">
        <v>128</v>
      </c>
      <c r="B45" s="2" t="s">
        <v>130</v>
      </c>
      <c r="C45" s="2" t="s">
        <v>130</v>
      </c>
      <c r="D45" s="42" t="s">
        <v>92</v>
      </c>
      <c r="E45" s="2" t="s">
        <v>131</v>
      </c>
      <c r="F45" s="1" t="s">
        <v>55</v>
      </c>
      <c r="G45" s="2" t="s">
        <v>104</v>
      </c>
      <c r="H45" s="26"/>
      <c r="I45" s="50">
        <v>0.89</v>
      </c>
      <c r="J45" s="2">
        <v>1</v>
      </c>
      <c r="K45" s="27">
        <f t="shared" si="4"/>
        <v>0.89</v>
      </c>
      <c r="L45" s="70">
        <v>51252</v>
      </c>
      <c r="M45" s="64" t="s">
        <v>132</v>
      </c>
      <c r="N45" s="59">
        <f t="shared" si="5"/>
        <v>45614.28</v>
      </c>
      <c r="O45" s="34" t="s">
        <v>92</v>
      </c>
      <c r="P45" s="34" t="s">
        <v>92</v>
      </c>
      <c r="Q45" s="42" t="s">
        <v>92</v>
      </c>
      <c r="R45" s="48" t="s">
        <v>92</v>
      </c>
      <c r="S45" s="48" t="s">
        <v>92</v>
      </c>
    </row>
    <row r="46" spans="1:19" ht="14.25">
      <c r="A46" s="2" t="s">
        <v>128</v>
      </c>
      <c r="B46" s="2" t="s">
        <v>133</v>
      </c>
      <c r="C46" s="2" t="s">
        <v>133</v>
      </c>
      <c r="D46" s="42" t="s">
        <v>92</v>
      </c>
      <c r="E46" s="2" t="s">
        <v>134</v>
      </c>
      <c r="F46" s="1" t="s">
        <v>55</v>
      </c>
      <c r="G46" s="2" t="s">
        <v>104</v>
      </c>
      <c r="H46" s="26"/>
      <c r="I46" s="50">
        <v>0.85</v>
      </c>
      <c r="J46" s="2">
        <v>1</v>
      </c>
      <c r="K46" s="27">
        <f t="shared" si="4"/>
        <v>0.85</v>
      </c>
      <c r="L46" s="71">
        <v>251742</v>
      </c>
      <c r="M46" s="64" t="s">
        <v>132</v>
      </c>
      <c r="N46" s="59">
        <f t="shared" si="5"/>
        <v>213980.69999999998</v>
      </c>
      <c r="O46" s="34" t="s">
        <v>92</v>
      </c>
      <c r="P46" s="34" t="s">
        <v>92</v>
      </c>
      <c r="Q46" s="42" t="s">
        <v>92</v>
      </c>
      <c r="R46" s="48" t="s">
        <v>92</v>
      </c>
      <c r="S46" s="48" t="s">
        <v>92</v>
      </c>
    </row>
    <row r="47" spans="1:19" ht="14.25">
      <c r="A47" s="2" t="s">
        <v>128</v>
      </c>
      <c r="B47" s="2" t="s">
        <v>135</v>
      </c>
      <c r="C47" s="2" t="s">
        <v>135</v>
      </c>
      <c r="D47" s="42" t="s">
        <v>92</v>
      </c>
      <c r="E47" s="2" t="s">
        <v>136</v>
      </c>
      <c r="F47" s="1" t="s">
        <v>55</v>
      </c>
      <c r="G47" s="2" t="s">
        <v>104</v>
      </c>
      <c r="H47" s="26"/>
      <c r="I47" s="50">
        <v>0.69</v>
      </c>
      <c r="J47" s="2">
        <v>1</v>
      </c>
      <c r="K47" s="27">
        <f t="shared" si="4"/>
        <v>0.69</v>
      </c>
      <c r="L47" s="70">
        <v>217699</v>
      </c>
      <c r="M47" s="64" t="s">
        <v>132</v>
      </c>
      <c r="N47" s="59">
        <f t="shared" si="5"/>
        <v>150212.31</v>
      </c>
      <c r="O47" s="34" t="s">
        <v>92</v>
      </c>
      <c r="P47" s="34" t="s">
        <v>92</v>
      </c>
      <c r="Q47" s="42" t="s">
        <v>92</v>
      </c>
      <c r="R47" s="48" t="s">
        <v>92</v>
      </c>
      <c r="S47" s="48" t="s">
        <v>92</v>
      </c>
    </row>
    <row r="48" spans="1:19" ht="14.25">
      <c r="A48" s="2" t="s">
        <v>128</v>
      </c>
      <c r="B48" s="2" t="s">
        <v>137</v>
      </c>
      <c r="C48" s="2" t="s">
        <v>137</v>
      </c>
      <c r="D48" s="42" t="s">
        <v>92</v>
      </c>
      <c r="E48" s="2" t="s">
        <v>138</v>
      </c>
      <c r="F48" s="1" t="s">
        <v>55</v>
      </c>
      <c r="G48" s="2" t="s">
        <v>104</v>
      </c>
      <c r="H48" s="26"/>
      <c r="I48" s="50">
        <v>0.89</v>
      </c>
      <c r="J48" s="2">
        <v>1</v>
      </c>
      <c r="K48" s="27">
        <f t="shared" si="4"/>
        <v>0.89</v>
      </c>
      <c r="L48" s="70">
        <v>87285</v>
      </c>
      <c r="M48" s="64" t="s">
        <v>132</v>
      </c>
      <c r="N48" s="59">
        <f t="shared" si="5"/>
        <v>77683.649999999994</v>
      </c>
      <c r="O48" s="34" t="s">
        <v>92</v>
      </c>
      <c r="P48" s="34" t="s">
        <v>92</v>
      </c>
      <c r="Q48" s="42" t="s">
        <v>92</v>
      </c>
      <c r="R48" s="48" t="s">
        <v>92</v>
      </c>
      <c r="S48" s="48" t="s">
        <v>92</v>
      </c>
    </row>
    <row r="49" spans="1:19" ht="14.25">
      <c r="A49" s="2" t="s">
        <v>128</v>
      </c>
      <c r="B49" s="2" t="s">
        <v>139</v>
      </c>
      <c r="C49" s="2" t="s">
        <v>139</v>
      </c>
      <c r="D49" s="42" t="s">
        <v>92</v>
      </c>
      <c r="E49" s="2"/>
      <c r="F49" s="1" t="s">
        <v>55</v>
      </c>
      <c r="G49" s="41" t="s">
        <v>104</v>
      </c>
      <c r="H49" s="58"/>
      <c r="I49" s="59">
        <v>120000</v>
      </c>
      <c r="J49" s="2">
        <v>12</v>
      </c>
      <c r="K49" s="27">
        <f t="shared" si="4"/>
        <v>10000</v>
      </c>
      <c r="L49" s="2">
        <v>1</v>
      </c>
      <c r="M49" s="2" t="s">
        <v>125</v>
      </c>
      <c r="N49" s="27">
        <f t="shared" si="5"/>
        <v>10000</v>
      </c>
      <c r="O49" s="34" t="s">
        <v>92</v>
      </c>
      <c r="P49" s="34" t="s">
        <v>92</v>
      </c>
      <c r="Q49" s="42" t="s">
        <v>92</v>
      </c>
      <c r="R49" s="48" t="s">
        <v>92</v>
      </c>
      <c r="S49" s="48" t="s">
        <v>92</v>
      </c>
    </row>
    <row r="50" spans="1:19" ht="14.25">
      <c r="A50" s="2" t="s">
        <v>128</v>
      </c>
      <c r="B50" s="2" t="s">
        <v>140</v>
      </c>
      <c r="C50" s="2" t="s">
        <v>140</v>
      </c>
      <c r="D50" s="42" t="s">
        <v>92</v>
      </c>
      <c r="E50" s="44" t="s">
        <v>141</v>
      </c>
      <c r="F50" s="45" t="s">
        <v>55</v>
      </c>
      <c r="G50" s="2" t="s">
        <v>104</v>
      </c>
      <c r="H50" s="2"/>
      <c r="I50" s="27">
        <v>120000</v>
      </c>
      <c r="J50" s="2">
        <v>12</v>
      </c>
      <c r="K50" s="27">
        <f t="shared" si="4"/>
        <v>10000</v>
      </c>
      <c r="L50" s="2">
        <v>2</v>
      </c>
      <c r="M50" s="2" t="s">
        <v>125</v>
      </c>
      <c r="N50" s="27">
        <f t="shared" si="5"/>
        <v>20000</v>
      </c>
      <c r="O50" s="34" t="s">
        <v>92</v>
      </c>
      <c r="P50" s="34" t="s">
        <v>92</v>
      </c>
      <c r="Q50" s="42" t="s">
        <v>92</v>
      </c>
      <c r="R50" s="48" t="s">
        <v>92</v>
      </c>
      <c r="S50" s="48" t="s">
        <v>92</v>
      </c>
    </row>
    <row r="51" spans="1:19" ht="14.25">
      <c r="A51" s="2" t="s">
        <v>128</v>
      </c>
      <c r="B51" s="2" t="s">
        <v>142</v>
      </c>
      <c r="C51" s="2" t="s">
        <v>143</v>
      </c>
      <c r="D51" s="42" t="s">
        <v>92</v>
      </c>
      <c r="E51" s="44"/>
      <c r="F51" s="45" t="s">
        <v>55</v>
      </c>
      <c r="G51" s="2" t="s">
        <v>104</v>
      </c>
      <c r="H51" s="2"/>
      <c r="I51" s="27">
        <v>70000</v>
      </c>
      <c r="J51" s="2">
        <v>12</v>
      </c>
      <c r="K51" s="27">
        <f t="shared" si="4"/>
        <v>5833.333333333333</v>
      </c>
      <c r="L51" s="2">
        <v>1</v>
      </c>
      <c r="M51" s="2" t="s">
        <v>57</v>
      </c>
      <c r="N51" s="27">
        <f t="shared" si="5"/>
        <v>5833.333333333333</v>
      </c>
      <c r="O51" s="34" t="s">
        <v>92</v>
      </c>
      <c r="P51" s="34" t="s">
        <v>92</v>
      </c>
      <c r="Q51" s="42" t="s">
        <v>92</v>
      </c>
      <c r="R51" s="48" t="s">
        <v>92</v>
      </c>
      <c r="S51" s="48" t="s">
        <v>92</v>
      </c>
    </row>
    <row r="52" spans="1:19" ht="14.25">
      <c r="A52" s="2" t="s">
        <v>128</v>
      </c>
      <c r="B52" s="2" t="s">
        <v>144</v>
      </c>
      <c r="C52" s="2" t="s">
        <v>143</v>
      </c>
      <c r="D52" s="42" t="s">
        <v>92</v>
      </c>
      <c r="E52" s="44"/>
      <c r="F52" s="45" t="s">
        <v>55</v>
      </c>
      <c r="G52" s="2" t="s">
        <v>104</v>
      </c>
      <c r="H52" s="2"/>
      <c r="I52" s="27">
        <v>25000</v>
      </c>
      <c r="J52" s="2">
        <v>12</v>
      </c>
      <c r="K52" s="27">
        <f t="shared" si="4"/>
        <v>2083.3333333333335</v>
      </c>
      <c r="L52" s="2">
        <v>1</v>
      </c>
      <c r="M52" s="2" t="s">
        <v>7</v>
      </c>
      <c r="N52" s="27">
        <f t="shared" si="5"/>
        <v>2083.3333333333335</v>
      </c>
      <c r="O52" s="34" t="s">
        <v>92</v>
      </c>
      <c r="P52" s="34" t="s">
        <v>92</v>
      </c>
      <c r="Q52" s="42" t="s">
        <v>92</v>
      </c>
      <c r="R52" s="48" t="s">
        <v>92</v>
      </c>
      <c r="S52" s="48" t="s">
        <v>92</v>
      </c>
    </row>
    <row r="53" spans="1:19" ht="14.25">
      <c r="A53" s="2" t="s">
        <v>128</v>
      </c>
      <c r="B53" s="2" t="s">
        <v>145</v>
      </c>
      <c r="C53" s="2" t="s">
        <v>145</v>
      </c>
      <c r="D53" s="42" t="s">
        <v>92</v>
      </c>
      <c r="E53" s="44"/>
      <c r="F53" s="45" t="s">
        <v>55</v>
      </c>
      <c r="G53" s="41" t="s">
        <v>104</v>
      </c>
      <c r="H53" s="33"/>
      <c r="I53" s="72">
        <v>512410</v>
      </c>
      <c r="J53" s="2">
        <v>12</v>
      </c>
      <c r="K53" s="27">
        <f t="shared" si="4"/>
        <v>42700.833333333336</v>
      </c>
      <c r="L53" s="2">
        <v>1</v>
      </c>
      <c r="M53" s="2" t="s">
        <v>7</v>
      </c>
      <c r="N53" s="27">
        <f t="shared" si="5"/>
        <v>42700.833333333336</v>
      </c>
      <c r="O53" s="34" t="s">
        <v>92</v>
      </c>
      <c r="P53" s="34" t="s">
        <v>92</v>
      </c>
      <c r="Q53" s="42" t="s">
        <v>92</v>
      </c>
      <c r="R53" s="48" t="s">
        <v>92</v>
      </c>
      <c r="S53" s="48" t="s">
        <v>92</v>
      </c>
    </row>
    <row r="54" spans="1:19" ht="14.25">
      <c r="A54" s="2" t="s">
        <v>128</v>
      </c>
      <c r="B54" s="2" t="s">
        <v>146</v>
      </c>
      <c r="C54" s="2" t="s">
        <v>146</v>
      </c>
      <c r="D54" s="42"/>
      <c r="E54" s="44"/>
      <c r="F54" s="45"/>
      <c r="G54" s="2"/>
      <c r="H54" s="2"/>
      <c r="I54" s="27"/>
      <c r="J54" s="2"/>
      <c r="K54" s="27"/>
      <c r="L54" s="2"/>
      <c r="M54" s="2"/>
      <c r="N54" s="27"/>
      <c r="O54" s="34"/>
      <c r="P54" s="34"/>
      <c r="Q54" s="42"/>
      <c r="R54" s="48"/>
      <c r="S54" s="48"/>
    </row>
    <row r="57" spans="1:19" ht="12.75">
      <c r="A57" t="s">
        <v>147</v>
      </c>
      <c r="H57" s="73"/>
      <c r="I57" s="15"/>
      <c r="J57" s="73"/>
    </row>
    <row r="58" spans="1:19" ht="14.25">
      <c r="A58" s="74" t="s">
        <v>148</v>
      </c>
      <c r="C58" s="75"/>
      <c r="H58" s="73"/>
    </row>
    <row r="59" spans="1:19" ht="14.25">
      <c r="A59" s="76" t="s">
        <v>149</v>
      </c>
      <c r="B59" s="5"/>
      <c r="C59" s="64" t="s">
        <v>9</v>
      </c>
      <c r="D59" s="5" t="s">
        <v>150</v>
      </c>
      <c r="E59" s="5" t="s">
        <v>151</v>
      </c>
      <c r="F59" s="5" t="s">
        <v>152</v>
      </c>
      <c r="G59" s="5" t="s">
        <v>153</v>
      </c>
      <c r="H59" s="5" t="s">
        <v>154</v>
      </c>
      <c r="I59" s="5" t="s">
        <v>13</v>
      </c>
    </row>
    <row r="60" spans="1:19" ht="14.25">
      <c r="A60" s="3" t="s">
        <v>59</v>
      </c>
      <c r="B60" s="77"/>
      <c r="C60" s="1" t="s">
        <v>5</v>
      </c>
      <c r="D60" s="78">
        <v>44640.31</v>
      </c>
      <c r="E60" s="77" t="s">
        <v>4</v>
      </c>
      <c r="F60" s="78">
        <v>20480</v>
      </c>
      <c r="G60" s="78" t="s">
        <v>155</v>
      </c>
      <c r="H60" s="78">
        <v>2.1800000000000002</v>
      </c>
      <c r="I60" s="78" t="s">
        <v>156</v>
      </c>
    </row>
    <row r="61" spans="1:19" ht="14.25">
      <c r="A61" s="145" t="s">
        <v>157</v>
      </c>
      <c r="B61" s="5"/>
      <c r="C61" s="64" t="s">
        <v>5</v>
      </c>
      <c r="D61" s="79">
        <v>44640.31</v>
      </c>
      <c r="E61" s="5" t="s">
        <v>4</v>
      </c>
      <c r="F61" s="79">
        <v>20480</v>
      </c>
      <c r="G61" s="79" t="s">
        <v>155</v>
      </c>
      <c r="H61" s="78">
        <v>2.1800000000000002</v>
      </c>
      <c r="I61" s="79" t="s">
        <v>156</v>
      </c>
    </row>
    <row r="62" spans="1:19" ht="14.25">
      <c r="A62" s="145"/>
      <c r="B62" s="5"/>
      <c r="C62" s="80" t="s">
        <v>6</v>
      </c>
      <c r="D62" s="81">
        <v>121365.85</v>
      </c>
      <c r="E62" s="82" t="s">
        <v>158</v>
      </c>
      <c r="F62" s="82">
        <v>2400</v>
      </c>
      <c r="G62" s="83" t="s">
        <v>155</v>
      </c>
      <c r="H62" s="84">
        <v>50.4</v>
      </c>
      <c r="I62" s="82" t="s">
        <v>159</v>
      </c>
    </row>
    <row r="63" spans="1:19" ht="12.75">
      <c r="A63" s="136" t="s">
        <v>160</v>
      </c>
      <c r="B63" s="5"/>
      <c r="C63" s="5" t="s">
        <v>139</v>
      </c>
      <c r="D63" s="5">
        <v>10000</v>
      </c>
      <c r="E63" s="86" t="s">
        <v>161</v>
      </c>
      <c r="F63" s="86" t="s">
        <v>162</v>
      </c>
      <c r="G63" s="87" t="s">
        <v>155</v>
      </c>
      <c r="H63" s="5">
        <v>0.95</v>
      </c>
      <c r="I63" s="86" t="s">
        <v>163</v>
      </c>
    </row>
    <row r="64" spans="1:19" ht="12.75">
      <c r="A64" s="137"/>
      <c r="B64" s="5"/>
      <c r="C64" s="5" t="s">
        <v>164</v>
      </c>
      <c r="D64" s="5">
        <v>10000</v>
      </c>
      <c r="E64" s="5" t="s">
        <v>161</v>
      </c>
      <c r="F64" s="5" t="s">
        <v>165</v>
      </c>
      <c r="G64" s="79" t="s">
        <v>155</v>
      </c>
      <c r="H64" s="5">
        <v>0.95</v>
      </c>
      <c r="I64" s="5" t="s">
        <v>163</v>
      </c>
    </row>
    <row r="65" spans="1:11" ht="12.75">
      <c r="H65" s="73"/>
      <c r="I65" s="15"/>
    </row>
    <row r="66" spans="1:11" ht="12.75">
      <c r="H66" s="73"/>
      <c r="I66" s="15"/>
    </row>
    <row r="67" spans="1:11" ht="12.75">
      <c r="H67" s="73"/>
      <c r="I67" s="15"/>
    </row>
    <row r="68" spans="1:11" ht="12.75">
      <c r="A68" t="s">
        <v>166</v>
      </c>
      <c r="H68" s="73"/>
      <c r="I68" s="15"/>
    </row>
    <row r="69" spans="1:11" ht="14.25">
      <c r="A69" s="76" t="s">
        <v>167</v>
      </c>
      <c r="B69" s="5" t="s">
        <v>3</v>
      </c>
      <c r="C69" s="5" t="s">
        <v>4</v>
      </c>
      <c r="D69" s="5" t="s">
        <v>158</v>
      </c>
      <c r="E69" s="70" t="s">
        <v>161</v>
      </c>
      <c r="F69" s="70"/>
      <c r="G69" s="138" t="s">
        <v>168</v>
      </c>
      <c r="H69" s="138"/>
      <c r="I69" s="138"/>
      <c r="J69" s="138"/>
      <c r="K69" s="88"/>
    </row>
    <row r="70" spans="1:11" ht="14.25">
      <c r="A70" s="76" t="s">
        <v>59</v>
      </c>
      <c r="B70" s="5">
        <v>32</v>
      </c>
      <c r="C70" s="5">
        <v>512</v>
      </c>
      <c r="D70" s="5">
        <v>24</v>
      </c>
      <c r="E70" s="70" t="s">
        <v>92</v>
      </c>
      <c r="F70" s="70"/>
      <c r="G70" s="139" t="s">
        <v>169</v>
      </c>
      <c r="H70" s="138"/>
      <c r="I70" s="138"/>
      <c r="J70" s="138"/>
      <c r="K70" s="88"/>
    </row>
    <row r="71" spans="1:11" ht="14.25">
      <c r="A71" s="76" t="s">
        <v>170</v>
      </c>
      <c r="B71" s="89"/>
      <c r="C71" s="5">
        <v>4</v>
      </c>
      <c r="D71" s="82">
        <v>0.05</v>
      </c>
      <c r="E71" s="70" t="s">
        <v>92</v>
      </c>
      <c r="F71" s="70"/>
      <c r="G71" s="139" t="s">
        <v>171</v>
      </c>
      <c r="H71" s="138"/>
      <c r="I71" s="138"/>
      <c r="J71" s="138"/>
      <c r="K71" s="88"/>
    </row>
    <row r="72" spans="1:11" ht="12.75">
      <c r="A72" s="5" t="s">
        <v>160</v>
      </c>
      <c r="B72" s="5" t="s">
        <v>92</v>
      </c>
      <c r="C72" s="5" t="s">
        <v>92</v>
      </c>
      <c r="D72" s="5" t="s">
        <v>92</v>
      </c>
      <c r="E72" s="5" t="s">
        <v>172</v>
      </c>
      <c r="F72" s="5"/>
      <c r="G72" s="140" t="s">
        <v>173</v>
      </c>
      <c r="H72" s="141"/>
      <c r="I72" s="141"/>
      <c r="J72" s="142"/>
      <c r="K72" s="5"/>
    </row>
    <row r="73" spans="1:11" ht="12.75">
      <c r="H73" s="73"/>
      <c r="I73" s="15"/>
    </row>
    <row r="74" spans="1:11" ht="12.75">
      <c r="H74" s="73"/>
      <c r="I74" s="15"/>
    </row>
    <row r="75" spans="1:11" ht="12.75">
      <c r="A75" t="s">
        <v>174</v>
      </c>
      <c r="H75" s="73"/>
      <c r="I75" s="15"/>
    </row>
    <row r="76" spans="1:11" ht="14.25">
      <c r="A76" s="91" t="s">
        <v>167</v>
      </c>
      <c r="B76" s="70" t="s">
        <v>175</v>
      </c>
      <c r="C76" s="5" t="s">
        <v>176</v>
      </c>
      <c r="D76" s="92"/>
      <c r="E76" s="92"/>
      <c r="F76" s="92"/>
      <c r="G76" s="143"/>
      <c r="H76" s="143"/>
      <c r="I76" s="143"/>
      <c r="J76" s="143"/>
    </row>
    <row r="77" spans="1:11" ht="14.25">
      <c r="A77" s="91" t="s">
        <v>59</v>
      </c>
      <c r="B77" s="93">
        <v>1116.01</v>
      </c>
      <c r="C77" s="5"/>
      <c r="D77" s="92"/>
      <c r="E77" s="92"/>
      <c r="F77" s="92"/>
      <c r="G77" s="144"/>
      <c r="H77" s="143"/>
      <c r="I77" s="143"/>
      <c r="J77" s="143"/>
    </row>
    <row r="78" spans="1:11" ht="14.25">
      <c r="A78" s="91" t="s">
        <v>170</v>
      </c>
      <c r="B78" s="70">
        <v>153.66</v>
      </c>
      <c r="C78" s="5"/>
      <c r="D78" s="94"/>
      <c r="E78" s="92"/>
      <c r="F78" s="92"/>
      <c r="G78" s="144"/>
      <c r="H78" s="143"/>
      <c r="I78" s="143"/>
      <c r="J78" s="143"/>
    </row>
    <row r="79" spans="1:11" ht="12.75">
      <c r="A79" s="70" t="s">
        <v>160</v>
      </c>
      <c r="B79" s="70"/>
      <c r="C79" s="5"/>
      <c r="D79" s="92"/>
      <c r="E79" s="92"/>
      <c r="F79" s="92"/>
      <c r="G79" s="143"/>
      <c r="H79" s="143"/>
      <c r="I79" s="143"/>
      <c r="J79" s="143"/>
    </row>
    <row r="83" spans="31:31" ht="12.75">
      <c r="AE83" s="73"/>
    </row>
    <row r="84" spans="31:31" ht="12.75">
      <c r="AE84" s="73"/>
    </row>
  </sheetData>
  <mergeCells count="10">
    <mergeCell ref="G76:J76"/>
    <mergeCell ref="G77:J77"/>
    <mergeCell ref="G78:J78"/>
    <mergeCell ref="G79:J79"/>
    <mergeCell ref="A61:A62"/>
    <mergeCell ref="A63:A64"/>
    <mergeCell ref="G69:J69"/>
    <mergeCell ref="G70:J70"/>
    <mergeCell ref="G71:J71"/>
    <mergeCell ref="G72:J72"/>
  </mergeCells>
  <phoneticPr fontId="25" type="noConversion"/>
  <dataValidations count="1">
    <dataValidation type="decimal" showInputMessage="1" showErrorMessage="1" sqref="I44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成本池"/>
  <dimension ref="A1:H2"/>
  <sheetViews>
    <sheetView workbookViewId="0"/>
  </sheetViews>
  <sheetFormatPr defaultColWidth="13.7109375" defaultRowHeight="18" customHeight="1"/>
  <cols>
    <col min="4" max="4" width="17.140625" customWidth="1"/>
    <col min="5" max="5" width="15.85546875" customWidth="1"/>
  </cols>
  <sheetData>
    <row r="1" spans="1:8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2</v>
      </c>
      <c r="G1" s="4" t="s">
        <v>13</v>
      </c>
      <c r="H1" s="4"/>
    </row>
    <row r="2" spans="1:8">
      <c r="A2" s="5" t="s">
        <v>14</v>
      </c>
      <c r="B2" s="6" t="s">
        <v>15</v>
      </c>
      <c r="C2" s="5" t="s">
        <v>3</v>
      </c>
      <c r="D2" s="5" t="s">
        <v>16</v>
      </c>
      <c r="E2" s="5" t="s">
        <v>17</v>
      </c>
      <c r="F2" s="5" t="s">
        <v>18</v>
      </c>
      <c r="G2" s="5" t="s">
        <v>19</v>
      </c>
      <c r="H2" s="5"/>
    </row>
  </sheetData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服务价格表2"/>
  <dimension ref="A1:L30"/>
  <sheetViews>
    <sheetView workbookViewId="0"/>
  </sheetViews>
  <sheetFormatPr defaultColWidth="13.7109375" defaultRowHeight="18" customHeight="1"/>
  <cols>
    <col min="1" max="1" width="21.5703125" customWidth="1"/>
    <col min="2" max="2" width="53" customWidth="1"/>
    <col min="3" max="3" width="28.5703125" customWidth="1"/>
  </cols>
  <sheetData>
    <row r="1" spans="1:12">
      <c r="A1" s="95" t="s">
        <v>177</v>
      </c>
      <c r="B1" s="96" t="s">
        <v>1</v>
      </c>
      <c r="C1" s="96" t="s">
        <v>40</v>
      </c>
      <c r="D1" s="96" t="s">
        <v>178</v>
      </c>
      <c r="E1" s="96" t="s">
        <v>179</v>
      </c>
      <c r="F1" s="96" t="s">
        <v>180</v>
      </c>
      <c r="G1" s="96" t="s">
        <v>181</v>
      </c>
      <c r="H1" s="96" t="s">
        <v>182</v>
      </c>
      <c r="I1" s="97" t="s">
        <v>183</v>
      </c>
      <c r="J1" s="96" t="s">
        <v>0</v>
      </c>
      <c r="K1" s="96" t="s">
        <v>184</v>
      </c>
      <c r="L1" s="96" t="s">
        <v>13</v>
      </c>
    </row>
    <row r="2" spans="1:12">
      <c r="A2" s="98" t="s">
        <v>185</v>
      </c>
      <c r="B2" s="99" t="s">
        <v>54</v>
      </c>
      <c r="C2" s="5"/>
      <c r="D2" s="5">
        <v>32</v>
      </c>
      <c r="E2" s="5">
        <v>384</v>
      </c>
      <c r="F2" s="5" t="s">
        <v>186</v>
      </c>
      <c r="G2" s="5"/>
      <c r="H2" s="5"/>
      <c r="I2" s="5"/>
      <c r="J2" s="5"/>
      <c r="K2" s="5"/>
      <c r="L2" s="70"/>
    </row>
    <row r="3" spans="1:12">
      <c r="A3" s="98" t="s">
        <v>185</v>
      </c>
      <c r="B3" s="99" t="s">
        <v>59</v>
      </c>
      <c r="C3" s="5"/>
      <c r="D3" s="5"/>
      <c r="E3" s="5"/>
      <c r="F3" s="5"/>
      <c r="G3" s="5"/>
      <c r="H3" s="5"/>
      <c r="I3" s="5"/>
      <c r="J3" s="5"/>
      <c r="K3" s="5"/>
      <c r="L3" s="70"/>
    </row>
    <row r="4" spans="1:12">
      <c r="A4" s="98" t="s">
        <v>185</v>
      </c>
      <c r="B4" s="100" t="s">
        <v>187</v>
      </c>
      <c r="C4" s="5"/>
      <c r="D4" s="5"/>
      <c r="E4" s="5"/>
      <c r="F4" s="5"/>
      <c r="G4" s="5"/>
      <c r="H4" s="5"/>
      <c r="I4" s="5"/>
      <c r="J4" s="5"/>
      <c r="K4" s="5"/>
      <c r="L4" s="70"/>
    </row>
    <row r="5" spans="1:12">
      <c r="A5" s="98" t="s">
        <v>185</v>
      </c>
      <c r="B5" s="101" t="s">
        <v>63</v>
      </c>
      <c r="C5" s="5"/>
      <c r="D5" s="5"/>
      <c r="E5" s="5"/>
      <c r="F5" s="5"/>
      <c r="G5" s="5"/>
      <c r="H5" s="5"/>
      <c r="I5" s="5"/>
      <c r="J5" s="5"/>
      <c r="K5" s="5"/>
      <c r="L5" s="70"/>
    </row>
    <row r="6" spans="1:12">
      <c r="A6" s="98" t="s">
        <v>185</v>
      </c>
      <c r="B6" s="99" t="s">
        <v>65</v>
      </c>
      <c r="C6" s="5"/>
      <c r="D6" s="5"/>
      <c r="E6" s="5"/>
      <c r="F6" s="5"/>
      <c r="G6" s="5"/>
      <c r="H6" s="5"/>
      <c r="I6" s="5"/>
      <c r="J6" s="5"/>
      <c r="K6" s="5"/>
      <c r="L6" s="70"/>
    </row>
    <row r="7" spans="1:12">
      <c r="A7" s="98" t="s">
        <v>185</v>
      </c>
      <c r="B7" s="99" t="s">
        <v>67</v>
      </c>
      <c r="C7" s="5"/>
      <c r="D7" s="5"/>
      <c r="E7" s="5"/>
      <c r="F7" s="5"/>
      <c r="G7" s="5"/>
      <c r="H7" s="5"/>
      <c r="I7" s="5"/>
      <c r="J7" s="5"/>
      <c r="K7" s="5"/>
      <c r="L7" s="70"/>
    </row>
    <row r="8" spans="1:12">
      <c r="A8" s="98" t="s">
        <v>185</v>
      </c>
      <c r="B8" s="102" t="s">
        <v>69</v>
      </c>
      <c r="C8" s="5"/>
      <c r="D8" s="5"/>
      <c r="E8" s="5"/>
      <c r="F8" s="5"/>
      <c r="G8" s="5"/>
      <c r="H8" s="5"/>
      <c r="I8" s="5"/>
      <c r="J8" s="5"/>
      <c r="K8" s="5"/>
      <c r="L8" s="70"/>
    </row>
    <row r="9" spans="1:12">
      <c r="A9" s="98" t="s">
        <v>185</v>
      </c>
      <c r="B9" s="102" t="s">
        <v>71</v>
      </c>
      <c r="C9" s="5"/>
      <c r="D9" s="5"/>
      <c r="E9" s="5"/>
      <c r="F9" s="5"/>
      <c r="G9" s="5"/>
      <c r="H9" s="5"/>
      <c r="I9" s="5"/>
      <c r="J9" s="5"/>
      <c r="K9" s="5"/>
      <c r="L9" s="70"/>
    </row>
    <row r="10" spans="1:12">
      <c r="A10" s="98" t="s">
        <v>185</v>
      </c>
      <c r="B10" s="102" t="s">
        <v>73</v>
      </c>
      <c r="C10" s="5"/>
      <c r="D10" s="5"/>
      <c r="E10" s="5"/>
      <c r="F10" s="5"/>
      <c r="G10" s="5"/>
      <c r="H10" s="5"/>
      <c r="I10" s="5"/>
      <c r="J10" s="5"/>
      <c r="K10" s="5"/>
      <c r="L10" s="70"/>
    </row>
    <row r="11" spans="1:12">
      <c r="A11" s="98" t="s">
        <v>185</v>
      </c>
      <c r="B11" s="102" t="s">
        <v>75</v>
      </c>
      <c r="C11" s="5"/>
      <c r="D11" s="5"/>
      <c r="E11" s="5"/>
      <c r="F11" s="5"/>
      <c r="G11" s="5"/>
      <c r="H11" s="5"/>
      <c r="I11" s="5"/>
      <c r="J11" s="5"/>
      <c r="K11" s="5"/>
      <c r="L11" s="70"/>
    </row>
    <row r="12" spans="1:12">
      <c r="A12" s="103" t="s">
        <v>188</v>
      </c>
      <c r="B12" s="104" t="s">
        <v>77</v>
      </c>
      <c r="C12" s="5"/>
      <c r="D12" s="5"/>
      <c r="E12" s="5"/>
      <c r="F12" s="5"/>
      <c r="G12" s="5"/>
      <c r="H12" s="5"/>
      <c r="I12" s="5"/>
      <c r="J12" s="5"/>
      <c r="K12" s="5"/>
      <c r="L12" s="70"/>
    </row>
    <row r="13" spans="1:12">
      <c r="A13" s="103" t="s">
        <v>188</v>
      </c>
      <c r="B13" s="104" t="s">
        <v>79</v>
      </c>
      <c r="C13" s="5"/>
      <c r="D13" s="5"/>
      <c r="E13" s="5"/>
      <c r="F13" s="5"/>
      <c r="G13" s="5"/>
      <c r="H13" s="5"/>
      <c r="I13" s="5"/>
      <c r="J13" s="5"/>
      <c r="K13" s="5"/>
      <c r="L13" s="70"/>
    </row>
    <row r="14" spans="1:12">
      <c r="A14" s="103" t="s">
        <v>188</v>
      </c>
      <c r="B14" s="104" t="s">
        <v>81</v>
      </c>
      <c r="C14" s="5"/>
      <c r="D14" s="5"/>
      <c r="E14" s="5"/>
      <c r="F14" s="5"/>
      <c r="G14" s="5"/>
      <c r="H14" s="5"/>
      <c r="I14" s="5"/>
      <c r="J14" s="5"/>
      <c r="K14" s="5"/>
      <c r="L14" s="70"/>
    </row>
    <row r="15" spans="1:12">
      <c r="A15" s="103" t="s">
        <v>188</v>
      </c>
      <c r="B15" s="104" t="s">
        <v>83</v>
      </c>
      <c r="C15" s="5"/>
      <c r="D15" s="5"/>
      <c r="E15" s="5"/>
      <c r="F15" s="5"/>
      <c r="G15" s="5"/>
      <c r="H15" s="5"/>
      <c r="I15" s="5"/>
      <c r="J15" s="5"/>
      <c r="K15" s="5"/>
      <c r="L15" s="70"/>
    </row>
    <row r="16" spans="1:12">
      <c r="A16" s="103" t="s">
        <v>188</v>
      </c>
      <c r="B16" s="104" t="s">
        <v>85</v>
      </c>
      <c r="C16" s="5"/>
      <c r="D16" s="5"/>
      <c r="E16" s="5"/>
      <c r="F16" s="5"/>
      <c r="G16" s="5"/>
      <c r="H16" s="5"/>
      <c r="I16" s="5"/>
      <c r="J16" s="5"/>
      <c r="K16" s="5"/>
      <c r="L16" s="70"/>
    </row>
    <row r="17" spans="1:12">
      <c r="A17" s="103" t="s">
        <v>188</v>
      </c>
      <c r="B17" s="104" t="s">
        <v>87</v>
      </c>
      <c r="C17" s="5"/>
      <c r="D17" s="5"/>
      <c r="E17" s="5"/>
      <c r="F17" s="5"/>
      <c r="G17" s="5"/>
      <c r="H17" s="5"/>
      <c r="I17" s="5"/>
      <c r="J17" s="5"/>
      <c r="K17" s="5"/>
      <c r="L17" s="70"/>
    </row>
    <row r="18" spans="1:12">
      <c r="A18" s="103" t="s">
        <v>188</v>
      </c>
      <c r="B18" s="104" t="s">
        <v>89</v>
      </c>
      <c r="C18" s="5"/>
      <c r="D18" s="5"/>
      <c r="E18" s="5"/>
      <c r="F18" s="5"/>
      <c r="G18" s="5"/>
      <c r="H18" s="5"/>
      <c r="I18" s="5"/>
      <c r="J18" s="5"/>
      <c r="K18" s="5"/>
      <c r="L18" s="70"/>
    </row>
    <row r="19" spans="1:12">
      <c r="A19" s="105" t="s">
        <v>189</v>
      </c>
      <c r="B19" s="106" t="s">
        <v>157</v>
      </c>
      <c r="C19" s="5"/>
      <c r="D19" s="5" t="s">
        <v>190</v>
      </c>
      <c r="E19" s="5" t="s">
        <v>191</v>
      </c>
      <c r="F19" s="5"/>
      <c r="G19" s="5" t="s">
        <v>192</v>
      </c>
      <c r="H19" s="5"/>
      <c r="I19" s="82" t="s">
        <v>193</v>
      </c>
      <c r="J19" s="5">
        <v>4</v>
      </c>
      <c r="K19" s="5">
        <v>8</v>
      </c>
      <c r="L19" s="70" t="s">
        <v>194</v>
      </c>
    </row>
    <row r="20" spans="1:12">
      <c r="A20" s="105" t="s">
        <v>189</v>
      </c>
      <c r="B20" s="106" t="s">
        <v>195</v>
      </c>
      <c r="C20" s="5"/>
      <c r="D20" s="5"/>
      <c r="E20" s="5"/>
      <c r="F20" s="5"/>
      <c r="G20" s="5"/>
      <c r="H20" s="5"/>
      <c r="I20" s="5"/>
      <c r="J20" s="5"/>
      <c r="K20" s="5"/>
      <c r="L20" s="70"/>
    </row>
    <row r="21" spans="1:12">
      <c r="A21" s="105" t="s">
        <v>189</v>
      </c>
      <c r="B21" s="106" t="s">
        <v>196</v>
      </c>
      <c r="C21" s="5"/>
      <c r="D21" s="5"/>
      <c r="E21" s="5"/>
      <c r="F21" s="5"/>
      <c r="G21" s="5"/>
      <c r="H21" s="5"/>
      <c r="I21" s="5"/>
      <c r="J21" s="5"/>
      <c r="K21" s="5"/>
      <c r="L21" s="70"/>
    </row>
    <row r="22" spans="1:12">
      <c r="A22" s="105" t="s">
        <v>189</v>
      </c>
      <c r="B22" s="106" t="s">
        <v>197</v>
      </c>
      <c r="C22" s="5"/>
      <c r="D22" s="5"/>
      <c r="E22" s="5"/>
      <c r="F22" s="5"/>
      <c r="G22" s="5"/>
      <c r="H22" s="5"/>
      <c r="I22" s="5"/>
      <c r="J22" s="5"/>
      <c r="K22" s="5"/>
      <c r="L22" s="70"/>
    </row>
    <row r="23" spans="1:12">
      <c r="A23" s="105" t="s">
        <v>189</v>
      </c>
      <c r="B23" s="106" t="s">
        <v>198</v>
      </c>
      <c r="C23" s="5"/>
      <c r="D23" s="5"/>
      <c r="E23" s="5"/>
      <c r="F23" s="5"/>
      <c r="G23" s="5"/>
      <c r="H23" s="5"/>
      <c r="I23" s="5"/>
      <c r="J23" s="5"/>
      <c r="K23" s="5"/>
      <c r="L23" s="70"/>
    </row>
    <row r="24" spans="1:12">
      <c r="A24" s="105" t="s">
        <v>189</v>
      </c>
      <c r="B24" s="106" t="s">
        <v>199</v>
      </c>
      <c r="C24" s="5"/>
      <c r="D24" s="5"/>
      <c r="E24" s="5"/>
      <c r="F24" s="5"/>
      <c r="G24" s="5"/>
      <c r="H24" s="5"/>
      <c r="I24" s="5"/>
      <c r="J24" s="5"/>
      <c r="K24" s="5"/>
      <c r="L24" s="70"/>
    </row>
    <row r="25" spans="1:12">
      <c r="A25" s="107" t="s">
        <v>14</v>
      </c>
      <c r="B25" s="108" t="s">
        <v>200</v>
      </c>
      <c r="C25" s="5"/>
      <c r="D25" s="5" t="s">
        <v>190</v>
      </c>
      <c r="E25" s="5" t="s">
        <v>191</v>
      </c>
      <c r="F25" s="5"/>
      <c r="G25" s="5" t="s">
        <v>201</v>
      </c>
      <c r="H25" s="5">
        <v>5</v>
      </c>
      <c r="I25" s="5"/>
      <c r="J25" s="5" t="s">
        <v>202</v>
      </c>
      <c r="K25" s="5">
        <v>16</v>
      </c>
      <c r="L25" s="70" t="s">
        <v>19</v>
      </c>
    </row>
    <row r="26" spans="1:12">
      <c r="A26" s="107" t="s">
        <v>14</v>
      </c>
      <c r="B26" s="108" t="s">
        <v>203</v>
      </c>
      <c r="C26" s="5"/>
      <c r="D26" s="5"/>
      <c r="E26" s="5"/>
      <c r="F26" s="5"/>
      <c r="G26" s="5"/>
      <c r="H26" s="5"/>
      <c r="I26" s="5"/>
      <c r="J26" s="5"/>
      <c r="K26" s="5"/>
      <c r="L26" s="70"/>
    </row>
    <row r="27" spans="1:12">
      <c r="A27" s="107" t="s">
        <v>14</v>
      </c>
      <c r="B27" s="108" t="s">
        <v>204</v>
      </c>
      <c r="C27" s="5"/>
      <c r="D27" s="5"/>
      <c r="E27" s="5"/>
      <c r="F27" s="5"/>
      <c r="G27" s="5"/>
      <c r="H27" s="5"/>
      <c r="I27" s="5"/>
      <c r="J27" s="5"/>
      <c r="K27" s="5"/>
      <c r="L27" s="70"/>
    </row>
    <row r="28" spans="1:12">
      <c r="A28" s="107" t="s">
        <v>14</v>
      </c>
      <c r="B28" s="108" t="s">
        <v>205</v>
      </c>
      <c r="C28" s="5"/>
      <c r="D28" s="5"/>
      <c r="E28" s="5"/>
      <c r="F28" s="5"/>
      <c r="G28" s="5"/>
      <c r="H28" s="5"/>
      <c r="I28" s="5"/>
      <c r="J28" s="5"/>
      <c r="K28" s="5"/>
      <c r="L28" s="70"/>
    </row>
    <row r="29" spans="1:12">
      <c r="A29" s="107" t="s">
        <v>14</v>
      </c>
      <c r="B29" s="108" t="s">
        <v>206</v>
      </c>
      <c r="C29" s="5"/>
      <c r="D29" s="5"/>
      <c r="E29" s="5"/>
      <c r="F29" s="5"/>
      <c r="G29" s="5"/>
      <c r="H29" s="5"/>
      <c r="I29" s="5"/>
      <c r="J29" s="5"/>
      <c r="K29" s="5"/>
      <c r="L29" s="70"/>
    </row>
    <row r="30" spans="1:12">
      <c r="A30" s="107" t="s">
        <v>14</v>
      </c>
      <c r="B30" s="108" t="s">
        <v>207</v>
      </c>
      <c r="C30" s="5"/>
      <c r="D30" s="5"/>
      <c r="E30" s="5"/>
      <c r="F30" s="5"/>
      <c r="G30" s="5"/>
      <c r="H30" s="5"/>
      <c r="I30" s="5"/>
      <c r="J30" s="5"/>
      <c r="K30" s="5"/>
      <c r="L30" s="70"/>
    </row>
  </sheetData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计量台账"/>
  <dimension ref="A1:G12"/>
  <sheetViews>
    <sheetView workbookViewId="0"/>
  </sheetViews>
  <sheetFormatPr defaultColWidth="13.7109375" defaultRowHeight="18" customHeight="1"/>
  <cols>
    <col min="1" max="1" width="26.140625" customWidth="1"/>
    <col min="2" max="2" width="49.140625" customWidth="1"/>
    <col min="7" max="7" width="13.7109375" hidden="1"/>
  </cols>
  <sheetData>
    <row r="1" spans="1:7" ht="12.75">
      <c r="A1" s="95" t="s">
        <v>177</v>
      </c>
      <c r="B1" s="96" t="s">
        <v>1</v>
      </c>
      <c r="C1" s="96" t="s">
        <v>210</v>
      </c>
      <c r="D1" s="96" t="s">
        <v>211</v>
      </c>
      <c r="E1" s="96" t="s">
        <v>212</v>
      </c>
      <c r="F1" s="96" t="s">
        <v>213</v>
      </c>
      <c r="G1" s="97" t="s">
        <v>214</v>
      </c>
    </row>
    <row r="2" spans="1:7" ht="14.25">
      <c r="A2" s="98" t="s">
        <v>185</v>
      </c>
      <c r="B2" s="109" t="s">
        <v>54</v>
      </c>
      <c r="C2" s="5" t="s">
        <v>215</v>
      </c>
      <c r="D2" s="5" t="s">
        <v>216</v>
      </c>
      <c r="E2" s="5" t="s">
        <v>217</v>
      </c>
      <c r="F2" s="70" t="s">
        <v>218</v>
      </c>
      <c r="G2" s="5"/>
    </row>
    <row r="3" spans="1:7" ht="14.25">
      <c r="A3" s="105" t="s">
        <v>189</v>
      </c>
      <c r="B3" s="110" t="s">
        <v>195</v>
      </c>
      <c r="C3" s="86" t="s">
        <v>219</v>
      </c>
      <c r="D3" s="86" t="s">
        <v>220</v>
      </c>
      <c r="E3" s="86" t="s">
        <v>221</v>
      </c>
      <c r="F3" s="85" t="s">
        <v>218</v>
      </c>
      <c r="G3" s="5"/>
    </row>
    <row r="4" spans="1:7" ht="15" customHeight="1">
      <c r="A4" s="103" t="s">
        <v>188</v>
      </c>
      <c r="B4" s="111" t="s">
        <v>79</v>
      </c>
      <c r="C4" s="5" t="s">
        <v>215</v>
      </c>
      <c r="D4" s="5" t="s">
        <v>222</v>
      </c>
      <c r="E4" s="5" t="s">
        <v>217</v>
      </c>
      <c r="F4" s="70" t="s">
        <v>218</v>
      </c>
      <c r="G4" s="5"/>
    </row>
    <row r="5" spans="1:7" ht="14.25">
      <c r="A5" s="107" t="s">
        <v>14</v>
      </c>
      <c r="B5" s="112" t="s">
        <v>206</v>
      </c>
      <c r="C5" s="5" t="s">
        <v>223</v>
      </c>
      <c r="D5" s="5" t="s">
        <v>224</v>
      </c>
      <c r="E5" s="5" t="s">
        <v>221</v>
      </c>
      <c r="F5" s="70" t="s">
        <v>225</v>
      </c>
      <c r="G5" s="5"/>
    </row>
    <row r="6" spans="1:7" ht="14.25">
      <c r="A6" s="98" t="s">
        <v>185</v>
      </c>
      <c r="B6" s="109" t="s">
        <v>54</v>
      </c>
      <c r="C6" s="5" t="s">
        <v>215</v>
      </c>
      <c r="D6" s="5" t="s">
        <v>226</v>
      </c>
      <c r="E6" s="5" t="s">
        <v>217</v>
      </c>
      <c r="F6" s="70" t="s">
        <v>225</v>
      </c>
      <c r="G6" s="5"/>
    </row>
    <row r="7" spans="1:7" ht="14.25">
      <c r="A7" s="105" t="s">
        <v>189</v>
      </c>
      <c r="B7" s="110" t="s">
        <v>157</v>
      </c>
      <c r="C7" s="5" t="s">
        <v>227</v>
      </c>
      <c r="D7" s="5" t="s">
        <v>228</v>
      </c>
      <c r="E7" s="5" t="s">
        <v>217</v>
      </c>
      <c r="F7" s="70" t="s">
        <v>229</v>
      </c>
      <c r="G7" s="5"/>
    </row>
    <row r="8" spans="1:7" ht="15" customHeight="1">
      <c r="A8" s="98" t="s">
        <v>185</v>
      </c>
      <c r="B8" s="113" t="s">
        <v>54</v>
      </c>
      <c r="C8" s="86" t="s">
        <v>215</v>
      </c>
      <c r="D8" s="86" t="s">
        <v>216</v>
      </c>
      <c r="E8" s="86" t="s">
        <v>217</v>
      </c>
      <c r="F8" s="85" t="s">
        <v>229</v>
      </c>
      <c r="G8" s="5"/>
    </row>
    <row r="9" spans="1:7" ht="14.25">
      <c r="A9" s="107" t="s">
        <v>14</v>
      </c>
      <c r="B9" s="107" t="s">
        <v>200</v>
      </c>
      <c r="C9" s="5" t="s">
        <v>227</v>
      </c>
      <c r="D9" s="5" t="s">
        <v>230</v>
      </c>
      <c r="E9" s="5" t="s">
        <v>217</v>
      </c>
      <c r="F9" s="70" t="s">
        <v>229</v>
      </c>
      <c r="G9" s="5"/>
    </row>
    <row r="11" spans="1:7" ht="12.75">
      <c r="A11" t="s">
        <v>231</v>
      </c>
    </row>
    <row r="12" spans="1:7" ht="12.75">
      <c r="A12" t="s">
        <v>232</v>
      </c>
    </row>
  </sheetData>
  <phoneticPr fontId="2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账单"/>
  <dimension ref="A1:I19"/>
  <sheetViews>
    <sheetView tabSelected="1" workbookViewId="0">
      <selection activeCell="G22" sqref="G22"/>
    </sheetView>
  </sheetViews>
  <sheetFormatPr defaultColWidth="13.7109375" defaultRowHeight="18" customHeight="1"/>
  <cols>
    <col min="2" max="2" width="32" customWidth="1"/>
  </cols>
  <sheetData>
    <row r="1" spans="1:9">
      <c r="A1" s="114" t="s">
        <v>233</v>
      </c>
      <c r="H1" s="115" t="s">
        <v>234</v>
      </c>
    </row>
    <row r="2" spans="1:9">
      <c r="A2" s="90" t="s">
        <v>177</v>
      </c>
      <c r="B2" s="90" t="s">
        <v>1</v>
      </c>
      <c r="C2" s="90" t="s">
        <v>41</v>
      </c>
      <c r="D2" s="90" t="s">
        <v>184</v>
      </c>
      <c r="E2" s="90" t="s">
        <v>44</v>
      </c>
      <c r="F2" s="90" t="s">
        <v>210</v>
      </c>
      <c r="G2" s="90" t="s">
        <v>235</v>
      </c>
      <c r="H2" s="116" t="s">
        <v>236</v>
      </c>
      <c r="I2" s="90" t="s">
        <v>237</v>
      </c>
    </row>
    <row r="3" spans="1:9">
      <c r="A3" t="s">
        <v>238</v>
      </c>
      <c r="B3" t="s">
        <v>54</v>
      </c>
      <c r="C3">
        <v>8</v>
      </c>
      <c r="D3">
        <v>16</v>
      </c>
      <c r="E3">
        <v>2</v>
      </c>
      <c r="F3" t="s">
        <v>215</v>
      </c>
      <c r="G3" t="s">
        <v>216</v>
      </c>
      <c r="H3" s="117">
        <v>0.6</v>
      </c>
      <c r="I3">
        <v>16</v>
      </c>
    </row>
    <row r="4" spans="1:9">
      <c r="B4" t="s">
        <v>54</v>
      </c>
      <c r="C4">
        <v>8</v>
      </c>
      <c r="D4">
        <v>16</v>
      </c>
      <c r="E4">
        <v>1</v>
      </c>
      <c r="F4" t="s">
        <v>215</v>
      </c>
      <c r="G4" t="s">
        <v>226</v>
      </c>
      <c r="H4" s="117">
        <v>0.6</v>
      </c>
      <c r="I4">
        <v>8</v>
      </c>
    </row>
    <row r="5" spans="1:9">
      <c r="A5" t="s">
        <v>188</v>
      </c>
      <c r="B5" t="s">
        <v>79</v>
      </c>
      <c r="C5">
        <v>10</v>
      </c>
      <c r="D5">
        <v>20</v>
      </c>
      <c r="E5">
        <v>1</v>
      </c>
      <c r="F5" t="s">
        <v>215</v>
      </c>
      <c r="G5" t="s">
        <v>222</v>
      </c>
      <c r="H5" s="117">
        <v>0.3</v>
      </c>
      <c r="I5">
        <v>10</v>
      </c>
    </row>
    <row r="6" spans="1:9">
      <c r="A6" t="s">
        <v>189</v>
      </c>
      <c r="B6" t="s">
        <v>157</v>
      </c>
      <c r="C6">
        <v>4</v>
      </c>
      <c r="D6">
        <v>8</v>
      </c>
      <c r="E6">
        <v>1</v>
      </c>
      <c r="F6" t="s">
        <v>227</v>
      </c>
      <c r="G6" t="s">
        <v>228</v>
      </c>
      <c r="H6" s="117">
        <v>0.7</v>
      </c>
      <c r="I6">
        <v>4</v>
      </c>
    </row>
    <row r="7" spans="1:9">
      <c r="A7" t="s">
        <v>14</v>
      </c>
      <c r="B7" t="s">
        <v>200</v>
      </c>
      <c r="C7">
        <v>9</v>
      </c>
      <c r="D7">
        <v>16</v>
      </c>
      <c r="E7">
        <v>1</v>
      </c>
      <c r="F7" t="s">
        <v>227</v>
      </c>
      <c r="G7" t="s">
        <v>230</v>
      </c>
      <c r="H7" s="117">
        <v>0.7</v>
      </c>
      <c r="I7">
        <v>9</v>
      </c>
    </row>
    <row r="8" spans="1:9">
      <c r="A8" s="118" t="s">
        <v>239</v>
      </c>
      <c r="B8" s="119"/>
      <c r="C8" s="119"/>
      <c r="D8" s="119"/>
      <c r="E8" s="119"/>
      <c r="F8" s="119"/>
      <c r="G8" s="119"/>
      <c r="H8" s="119"/>
      <c r="I8" s="119">
        <f>SUM(I3:I7)</f>
        <v>47</v>
      </c>
    </row>
    <row r="16" spans="1:9">
      <c r="A16" t="s">
        <v>240</v>
      </c>
    </row>
    <row r="17" spans="1:1">
      <c r="A17" t="s">
        <v>241</v>
      </c>
    </row>
    <row r="18" spans="1:1">
      <c r="A18" t="s">
        <v>242</v>
      </c>
    </row>
    <row r="19" spans="1:1">
      <c r="A19" s="114" t="s">
        <v>243</v>
      </c>
    </row>
  </sheetData>
  <phoneticPr fontId="2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资产管理</vt:lpstr>
      <vt:lpstr>成本模型（模拟数据）</vt:lpstr>
      <vt:lpstr>成本池</vt:lpstr>
      <vt:lpstr>服务价格表2</vt:lpstr>
      <vt:lpstr>计量台账</vt:lpstr>
      <vt:lpstr>账单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苏英才(10076202)</cp:lastModifiedBy>
  <dcterms:created xsi:type="dcterms:W3CDTF">2026-02-24T16:03:13Z</dcterms:created>
  <dcterms:modified xsi:type="dcterms:W3CDTF">2026-02-24T08:06:34Z</dcterms:modified>
</cp:coreProperties>
</file>